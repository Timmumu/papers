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phd\6.pjt\LR1\papers\04c_LR 3round\"/>
    </mc:Choice>
  </mc:AlternateContent>
  <xr:revisionPtr revIDLastSave="0" documentId="13_ncr:1_{D13E8366-6783-47CC-89A9-FC8F7FCC8183}" xr6:coauthVersionLast="47" xr6:coauthVersionMax="47" xr10:uidLastSave="{00000000-0000-0000-0000-000000000000}"/>
  <bookViews>
    <workbookView xWindow="-108" yWindow="-108" windowWidth="30936" windowHeight="16776" tabRatio="629" activeTab="1" xr2:uid="{00000000-000D-0000-FFFF-FFFF00000000}"/>
  </bookViews>
  <sheets>
    <sheet name="0_Guide" sheetId="1" r:id="rId1"/>
    <sheet name="1_CodeLists" sheetId="2" r:id="rId2"/>
    <sheet name="Matrix" sheetId="3" r:id="rId3"/>
    <sheet name="Step1_Report" sheetId="4" r:id="rId4"/>
    <sheet name="Step3_Report" sheetId="5" r:id="rId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 i="4" l="1"/>
  <c r="Y430" i="3"/>
  <c r="S430" i="3"/>
  <c r="T430" i="3" s="1"/>
  <c r="L430" i="3"/>
  <c r="M430" i="3" s="1"/>
  <c r="Y429" i="3"/>
  <c r="S429" i="3"/>
  <c r="T429" i="3" s="1"/>
  <c r="L429" i="3"/>
  <c r="M429" i="3" s="1"/>
  <c r="Y428" i="3"/>
  <c r="S428" i="3"/>
  <c r="T428" i="3" s="1"/>
  <c r="L428" i="3"/>
  <c r="M428" i="3" s="1"/>
  <c r="Y427" i="3"/>
  <c r="S427" i="3"/>
  <c r="T427" i="3" s="1"/>
  <c r="L427" i="3"/>
  <c r="M427" i="3" s="1"/>
  <c r="Y426" i="3"/>
  <c r="S426" i="3"/>
  <c r="T426" i="3" s="1"/>
  <c r="L426" i="3"/>
  <c r="M426" i="3" s="1"/>
  <c r="Y425" i="3"/>
  <c r="S425" i="3"/>
  <c r="T425" i="3" s="1"/>
  <c r="L425" i="3"/>
  <c r="M425" i="3" s="1"/>
  <c r="Y424" i="3"/>
  <c r="S424" i="3"/>
  <c r="T424" i="3" s="1"/>
  <c r="L424" i="3"/>
  <c r="M424" i="3" s="1"/>
  <c r="Y423" i="3"/>
  <c r="S423" i="3"/>
  <c r="T423" i="3" s="1"/>
  <c r="L423" i="3"/>
  <c r="M423" i="3" s="1"/>
  <c r="Y422" i="3"/>
  <c r="S422" i="3"/>
  <c r="T422" i="3" s="1"/>
  <c r="L422" i="3"/>
  <c r="M422" i="3" s="1"/>
  <c r="Y421" i="3"/>
  <c r="S421" i="3"/>
  <c r="T421" i="3" s="1"/>
  <c r="L421" i="3"/>
  <c r="M421" i="3" s="1"/>
  <c r="Y420" i="3"/>
  <c r="S420" i="3"/>
  <c r="T420" i="3" s="1"/>
  <c r="L420" i="3"/>
  <c r="M420" i="3" s="1"/>
  <c r="Y419" i="3"/>
  <c r="S419" i="3"/>
  <c r="T419" i="3" s="1"/>
  <c r="L419" i="3"/>
  <c r="M419" i="3" s="1"/>
  <c r="Y418" i="3"/>
  <c r="S418" i="3"/>
  <c r="T418" i="3" s="1"/>
  <c r="L418" i="3"/>
  <c r="M418" i="3" s="1"/>
  <c r="Y417" i="3"/>
  <c r="S417" i="3"/>
  <c r="T417" i="3" s="1"/>
  <c r="L417" i="3"/>
  <c r="M417" i="3" s="1"/>
  <c r="Y416" i="3"/>
  <c r="S416" i="3"/>
  <c r="T416" i="3" s="1"/>
  <c r="L416" i="3"/>
  <c r="M416" i="3" s="1"/>
  <c r="Y415" i="3"/>
  <c r="S415" i="3"/>
  <c r="T415" i="3" s="1"/>
  <c r="L415" i="3"/>
  <c r="M415" i="3" s="1"/>
  <c r="Y414" i="3"/>
  <c r="S414" i="3"/>
  <c r="T414" i="3" s="1"/>
  <c r="L414" i="3"/>
  <c r="M414" i="3" s="1"/>
  <c r="Y413" i="3"/>
  <c r="S413" i="3"/>
  <c r="T413" i="3" s="1"/>
  <c r="L413" i="3"/>
  <c r="M413" i="3" s="1"/>
  <c r="Y412" i="3"/>
  <c r="S412" i="3"/>
  <c r="T412" i="3" s="1"/>
  <c r="L412" i="3"/>
  <c r="M412" i="3" s="1"/>
  <c r="Y411" i="3"/>
  <c r="S411" i="3"/>
  <c r="T411" i="3" s="1"/>
  <c r="L411" i="3"/>
  <c r="M411" i="3" s="1"/>
  <c r="Y410" i="3"/>
  <c r="S410" i="3"/>
  <c r="T410" i="3" s="1"/>
  <c r="L410" i="3"/>
  <c r="M410" i="3" s="1"/>
  <c r="Y409" i="3"/>
  <c r="S409" i="3"/>
  <c r="T409" i="3" s="1"/>
  <c r="L409" i="3"/>
  <c r="M409" i="3" s="1"/>
  <c r="Y408" i="3"/>
  <c r="S408" i="3"/>
  <c r="T408" i="3" s="1"/>
  <c r="L408" i="3"/>
  <c r="M408" i="3" s="1"/>
  <c r="Y407" i="3"/>
  <c r="S407" i="3"/>
  <c r="T407" i="3" s="1"/>
  <c r="L407" i="3"/>
  <c r="M407" i="3" s="1"/>
  <c r="Y406" i="3"/>
  <c r="S406" i="3"/>
  <c r="T406" i="3" s="1"/>
  <c r="L406" i="3"/>
  <c r="M406" i="3" s="1"/>
  <c r="Y405" i="3"/>
  <c r="S405" i="3"/>
  <c r="T405" i="3" s="1"/>
  <c r="L405" i="3"/>
  <c r="M405" i="3" s="1"/>
  <c r="Y404" i="3"/>
  <c r="S404" i="3"/>
  <c r="T404" i="3" s="1"/>
  <c r="L404" i="3"/>
  <c r="M404" i="3" s="1"/>
  <c r="Y403" i="3"/>
  <c r="S403" i="3"/>
  <c r="T403" i="3" s="1"/>
  <c r="L403" i="3"/>
  <c r="M403" i="3" s="1"/>
  <c r="Y402" i="3"/>
  <c r="S402" i="3"/>
  <c r="T402" i="3" s="1"/>
  <c r="L402" i="3"/>
  <c r="M402" i="3" s="1"/>
  <c r="Y401" i="3"/>
  <c r="S401" i="3"/>
  <c r="T401" i="3" s="1"/>
  <c r="L401" i="3"/>
  <c r="M401" i="3" s="1"/>
  <c r="Y400" i="3"/>
  <c r="S400" i="3"/>
  <c r="T400" i="3" s="1"/>
  <c r="L400" i="3"/>
  <c r="M400" i="3" s="1"/>
  <c r="Y399" i="3"/>
  <c r="S399" i="3"/>
  <c r="T399" i="3" s="1"/>
  <c r="L399" i="3"/>
  <c r="M399" i="3" s="1"/>
  <c r="Y398" i="3"/>
  <c r="S398" i="3"/>
  <c r="T398" i="3" s="1"/>
  <c r="L398" i="3"/>
  <c r="M398" i="3" s="1"/>
  <c r="Y397" i="3"/>
  <c r="S397" i="3"/>
  <c r="T397" i="3" s="1"/>
  <c r="L397" i="3"/>
  <c r="M397" i="3" s="1"/>
  <c r="Y396" i="3"/>
  <c r="S396" i="3"/>
  <c r="T396" i="3" s="1"/>
  <c r="L396" i="3"/>
  <c r="M396" i="3" s="1"/>
  <c r="Y395" i="3"/>
  <c r="S395" i="3"/>
  <c r="T395" i="3" s="1"/>
  <c r="L395" i="3"/>
  <c r="M395" i="3" s="1"/>
  <c r="Y394" i="3"/>
  <c r="S394" i="3"/>
  <c r="T394" i="3" s="1"/>
  <c r="L394" i="3"/>
  <c r="M394" i="3" s="1"/>
  <c r="Y393" i="3"/>
  <c r="S393" i="3"/>
  <c r="T393" i="3" s="1"/>
  <c r="L393" i="3"/>
  <c r="M393" i="3" s="1"/>
  <c r="Y392" i="3"/>
  <c r="S392" i="3"/>
  <c r="T392" i="3" s="1"/>
  <c r="L392" i="3"/>
  <c r="M392" i="3" s="1"/>
  <c r="Y391" i="3"/>
  <c r="S391" i="3"/>
  <c r="T391" i="3" s="1"/>
  <c r="L391" i="3"/>
  <c r="M391" i="3" s="1"/>
  <c r="Y390" i="3"/>
  <c r="S390" i="3"/>
  <c r="T390" i="3" s="1"/>
  <c r="L390" i="3"/>
  <c r="M390" i="3" s="1"/>
  <c r="Y389" i="3"/>
  <c r="S389" i="3"/>
  <c r="T389" i="3" s="1"/>
  <c r="L389" i="3"/>
  <c r="M389" i="3" s="1"/>
  <c r="Y388" i="3"/>
  <c r="S388" i="3"/>
  <c r="T388" i="3" s="1"/>
  <c r="L388" i="3"/>
  <c r="M388" i="3" s="1"/>
  <c r="Y387" i="3"/>
  <c r="S387" i="3"/>
  <c r="T387" i="3" s="1"/>
  <c r="L387" i="3"/>
  <c r="M387" i="3" s="1"/>
  <c r="Y386" i="3"/>
  <c r="S386" i="3"/>
  <c r="T386" i="3" s="1"/>
  <c r="L386" i="3"/>
  <c r="M386" i="3" s="1"/>
  <c r="Y385" i="3"/>
  <c r="S385" i="3"/>
  <c r="T385" i="3" s="1"/>
  <c r="L385" i="3"/>
  <c r="M385" i="3" s="1"/>
  <c r="Y384" i="3"/>
  <c r="S384" i="3"/>
  <c r="T384" i="3" s="1"/>
  <c r="L384" i="3"/>
  <c r="M384" i="3" s="1"/>
  <c r="Y383" i="3"/>
  <c r="S383" i="3"/>
  <c r="T383" i="3" s="1"/>
  <c r="L383" i="3"/>
  <c r="M383" i="3" s="1"/>
  <c r="Y382" i="3"/>
  <c r="S382" i="3"/>
  <c r="T382" i="3" s="1"/>
  <c r="L382" i="3"/>
  <c r="M382" i="3" s="1"/>
  <c r="Y381" i="3"/>
  <c r="S381" i="3"/>
  <c r="T381" i="3" s="1"/>
  <c r="L381" i="3"/>
  <c r="M381" i="3" s="1"/>
  <c r="Y380" i="3"/>
  <c r="S380" i="3"/>
  <c r="T380" i="3" s="1"/>
  <c r="L380" i="3"/>
  <c r="M380" i="3" s="1"/>
  <c r="Y379" i="3"/>
  <c r="S379" i="3"/>
  <c r="T379" i="3" s="1"/>
  <c r="L379" i="3"/>
  <c r="M379" i="3" s="1"/>
  <c r="Y378" i="3"/>
  <c r="S378" i="3"/>
  <c r="T378" i="3" s="1"/>
  <c r="L378" i="3"/>
  <c r="M378" i="3" s="1"/>
  <c r="Y377" i="3"/>
  <c r="S377" i="3"/>
  <c r="T377" i="3" s="1"/>
  <c r="L377" i="3"/>
  <c r="M377" i="3" s="1"/>
  <c r="Y376" i="3"/>
  <c r="S376" i="3"/>
  <c r="T376" i="3" s="1"/>
  <c r="L376" i="3"/>
  <c r="M376" i="3" s="1"/>
  <c r="Y375" i="3"/>
  <c r="S375" i="3"/>
  <c r="T375" i="3" s="1"/>
  <c r="L375" i="3"/>
  <c r="M375" i="3" s="1"/>
  <c r="Y374" i="3"/>
  <c r="S374" i="3"/>
  <c r="T374" i="3" s="1"/>
  <c r="L374" i="3"/>
  <c r="M374" i="3" s="1"/>
  <c r="Y373" i="3"/>
  <c r="S373" i="3"/>
  <c r="T373" i="3" s="1"/>
  <c r="L373" i="3"/>
  <c r="M373" i="3" s="1"/>
  <c r="Y372" i="3"/>
  <c r="S372" i="3"/>
  <c r="T372" i="3" s="1"/>
  <c r="L372" i="3"/>
  <c r="M372" i="3" s="1"/>
  <c r="Y371" i="3"/>
  <c r="S371" i="3"/>
  <c r="T371" i="3" s="1"/>
  <c r="L371" i="3"/>
  <c r="M371" i="3" s="1"/>
  <c r="Y370" i="3"/>
  <c r="S370" i="3"/>
  <c r="T370" i="3" s="1"/>
  <c r="L370" i="3"/>
  <c r="M370" i="3" s="1"/>
  <c r="Y369" i="3"/>
  <c r="S369" i="3"/>
  <c r="T369" i="3" s="1"/>
  <c r="L369" i="3"/>
  <c r="M369" i="3" s="1"/>
  <c r="Y368" i="3"/>
  <c r="S368" i="3"/>
  <c r="T368" i="3" s="1"/>
  <c r="L368" i="3"/>
  <c r="M368" i="3" s="1"/>
  <c r="Y367" i="3"/>
  <c r="S367" i="3"/>
  <c r="T367" i="3" s="1"/>
  <c r="L367" i="3"/>
  <c r="M367" i="3" s="1"/>
  <c r="Y366" i="3"/>
  <c r="S366" i="3"/>
  <c r="T366" i="3" s="1"/>
  <c r="L366" i="3"/>
  <c r="M366" i="3" s="1"/>
  <c r="Y365" i="3"/>
  <c r="S365" i="3"/>
  <c r="T365" i="3" s="1"/>
  <c r="L365" i="3"/>
  <c r="M365" i="3" s="1"/>
  <c r="Y364" i="3"/>
  <c r="S364" i="3"/>
  <c r="T364" i="3" s="1"/>
  <c r="L364" i="3"/>
  <c r="M364" i="3" s="1"/>
  <c r="Y363" i="3"/>
  <c r="S363" i="3"/>
  <c r="T363" i="3" s="1"/>
  <c r="L363" i="3"/>
  <c r="M363" i="3" s="1"/>
  <c r="Y362" i="3"/>
  <c r="S362" i="3"/>
  <c r="T362" i="3" s="1"/>
  <c r="L362" i="3"/>
  <c r="M362" i="3" s="1"/>
  <c r="Y361" i="3"/>
  <c r="S361" i="3"/>
  <c r="T361" i="3" s="1"/>
  <c r="L361" i="3"/>
  <c r="M361" i="3" s="1"/>
  <c r="Y360" i="3"/>
  <c r="S360" i="3"/>
  <c r="T360" i="3" s="1"/>
  <c r="L360" i="3"/>
  <c r="M360" i="3" s="1"/>
  <c r="Y359" i="3"/>
  <c r="S359" i="3"/>
  <c r="T359" i="3" s="1"/>
  <c r="L359" i="3"/>
  <c r="M359" i="3" s="1"/>
  <c r="Y358" i="3"/>
  <c r="S358" i="3"/>
  <c r="T358" i="3" s="1"/>
  <c r="L358" i="3"/>
  <c r="M358" i="3" s="1"/>
  <c r="Y357" i="3"/>
  <c r="S357" i="3"/>
  <c r="T357" i="3" s="1"/>
  <c r="L357" i="3"/>
  <c r="M357" i="3" s="1"/>
  <c r="Y356" i="3"/>
  <c r="S356" i="3"/>
  <c r="T356" i="3" s="1"/>
  <c r="L356" i="3"/>
  <c r="M356" i="3" s="1"/>
  <c r="Y355" i="3"/>
  <c r="S355" i="3"/>
  <c r="T355" i="3" s="1"/>
  <c r="L355" i="3"/>
  <c r="M355" i="3" s="1"/>
  <c r="Y354" i="3"/>
  <c r="S354" i="3"/>
  <c r="T354" i="3" s="1"/>
  <c r="L354" i="3"/>
  <c r="M354" i="3" s="1"/>
  <c r="Y353" i="3"/>
  <c r="S353" i="3"/>
  <c r="T353" i="3" s="1"/>
  <c r="L353" i="3"/>
  <c r="M353" i="3" s="1"/>
  <c r="Y352" i="3"/>
  <c r="S352" i="3"/>
  <c r="T352" i="3" s="1"/>
  <c r="L352" i="3"/>
  <c r="M352" i="3" s="1"/>
  <c r="Y351" i="3"/>
  <c r="S351" i="3"/>
  <c r="T351" i="3" s="1"/>
  <c r="L351" i="3"/>
  <c r="M351" i="3" s="1"/>
  <c r="Y350" i="3"/>
  <c r="S350" i="3"/>
  <c r="T350" i="3" s="1"/>
  <c r="L350" i="3"/>
  <c r="M350" i="3" s="1"/>
  <c r="Y349" i="3"/>
  <c r="S349" i="3"/>
  <c r="T349" i="3" s="1"/>
  <c r="L349" i="3"/>
  <c r="M349" i="3" s="1"/>
  <c r="Y348" i="3"/>
  <c r="S348" i="3"/>
  <c r="T348" i="3" s="1"/>
  <c r="L348" i="3"/>
  <c r="M348" i="3" s="1"/>
  <c r="Y347" i="3"/>
  <c r="S347" i="3"/>
  <c r="T347" i="3" s="1"/>
  <c r="L347" i="3"/>
  <c r="M347" i="3" s="1"/>
  <c r="Y346" i="3"/>
  <c r="S346" i="3"/>
  <c r="T346" i="3" s="1"/>
  <c r="L346" i="3"/>
  <c r="M346" i="3" s="1"/>
  <c r="Y345" i="3"/>
  <c r="S345" i="3"/>
  <c r="T345" i="3" s="1"/>
  <c r="L345" i="3"/>
  <c r="M345" i="3" s="1"/>
  <c r="Y344" i="3"/>
  <c r="S344" i="3"/>
  <c r="T344" i="3" s="1"/>
  <c r="L344" i="3"/>
  <c r="M344" i="3" s="1"/>
  <c r="Y343" i="3"/>
  <c r="S343" i="3"/>
  <c r="T343" i="3" s="1"/>
  <c r="L343" i="3"/>
  <c r="M343" i="3" s="1"/>
  <c r="Y342" i="3"/>
  <c r="S342" i="3"/>
  <c r="T342" i="3" s="1"/>
  <c r="L342" i="3"/>
  <c r="M342" i="3" s="1"/>
  <c r="Y341" i="3"/>
  <c r="S341" i="3"/>
  <c r="T341" i="3" s="1"/>
  <c r="L341" i="3"/>
  <c r="M341" i="3" s="1"/>
  <c r="Y340" i="3"/>
  <c r="S340" i="3"/>
  <c r="T340" i="3" s="1"/>
  <c r="L340" i="3"/>
  <c r="M340" i="3" s="1"/>
  <c r="Y339" i="3"/>
  <c r="S339" i="3"/>
  <c r="T339" i="3" s="1"/>
  <c r="L339" i="3"/>
  <c r="M339" i="3" s="1"/>
  <c r="Y338" i="3"/>
  <c r="S338" i="3"/>
  <c r="T338" i="3" s="1"/>
  <c r="L338" i="3"/>
  <c r="M338" i="3" s="1"/>
  <c r="Y337" i="3"/>
  <c r="S337" i="3"/>
  <c r="T337" i="3" s="1"/>
  <c r="L337" i="3"/>
  <c r="M337" i="3" s="1"/>
  <c r="Y336" i="3"/>
  <c r="S336" i="3"/>
  <c r="T336" i="3" s="1"/>
  <c r="L336" i="3"/>
  <c r="M336" i="3" s="1"/>
  <c r="Y335" i="3"/>
  <c r="S335" i="3"/>
  <c r="T335" i="3" s="1"/>
  <c r="L335" i="3"/>
  <c r="M335" i="3" s="1"/>
  <c r="Y334" i="3"/>
  <c r="S334" i="3"/>
  <c r="T334" i="3" s="1"/>
  <c r="L334" i="3"/>
  <c r="M334" i="3" s="1"/>
  <c r="Y333" i="3"/>
  <c r="S333" i="3"/>
  <c r="T333" i="3" s="1"/>
  <c r="L333" i="3"/>
  <c r="M333" i="3" s="1"/>
  <c r="Y332" i="3"/>
  <c r="S332" i="3"/>
  <c r="T332" i="3" s="1"/>
  <c r="L332" i="3"/>
  <c r="M332" i="3" s="1"/>
  <c r="Y331" i="3"/>
  <c r="S331" i="3"/>
  <c r="T331" i="3" s="1"/>
  <c r="L331" i="3"/>
  <c r="M331" i="3" s="1"/>
  <c r="Y330" i="3"/>
  <c r="S330" i="3"/>
  <c r="T330" i="3" s="1"/>
  <c r="L330" i="3"/>
  <c r="M330" i="3" s="1"/>
  <c r="Y329" i="3"/>
  <c r="S329" i="3"/>
  <c r="T329" i="3" s="1"/>
  <c r="L329" i="3"/>
  <c r="M329" i="3" s="1"/>
  <c r="Y328" i="3"/>
  <c r="S328" i="3"/>
  <c r="T328" i="3" s="1"/>
  <c r="L328" i="3"/>
  <c r="M328" i="3" s="1"/>
  <c r="Y327" i="3"/>
  <c r="S327" i="3"/>
  <c r="T327" i="3" s="1"/>
  <c r="L327" i="3"/>
  <c r="M327" i="3" s="1"/>
  <c r="Y326" i="3"/>
  <c r="S326" i="3"/>
  <c r="T326" i="3" s="1"/>
  <c r="L326" i="3"/>
  <c r="M326" i="3" s="1"/>
  <c r="Y325" i="3"/>
  <c r="S325" i="3"/>
  <c r="T325" i="3" s="1"/>
  <c r="L325" i="3"/>
  <c r="M325" i="3" s="1"/>
  <c r="Y324" i="3"/>
  <c r="S324" i="3"/>
  <c r="T324" i="3" s="1"/>
  <c r="L324" i="3"/>
  <c r="M324" i="3" s="1"/>
  <c r="Y323" i="3"/>
  <c r="S323" i="3"/>
  <c r="T323" i="3" s="1"/>
  <c r="L323" i="3"/>
  <c r="M323" i="3" s="1"/>
  <c r="Y322" i="3"/>
  <c r="S322" i="3"/>
  <c r="T322" i="3" s="1"/>
  <c r="L322" i="3"/>
  <c r="M322" i="3" s="1"/>
  <c r="Y321" i="3"/>
  <c r="S321" i="3"/>
  <c r="T321" i="3" s="1"/>
  <c r="L321" i="3"/>
  <c r="M321" i="3" s="1"/>
  <c r="Y320" i="3"/>
  <c r="S320" i="3"/>
  <c r="T320" i="3" s="1"/>
  <c r="L320" i="3"/>
  <c r="M320" i="3" s="1"/>
  <c r="Y319" i="3"/>
  <c r="S319" i="3"/>
  <c r="T319" i="3" s="1"/>
  <c r="L319" i="3"/>
  <c r="M319" i="3" s="1"/>
  <c r="Y318" i="3"/>
  <c r="S318" i="3"/>
  <c r="T318" i="3" s="1"/>
  <c r="L318" i="3"/>
  <c r="M318" i="3" s="1"/>
  <c r="Y317" i="3"/>
  <c r="S317" i="3"/>
  <c r="T317" i="3" s="1"/>
  <c r="L317" i="3"/>
  <c r="M317" i="3" s="1"/>
  <c r="Y316" i="3"/>
  <c r="S316" i="3"/>
  <c r="T316" i="3" s="1"/>
  <c r="L316" i="3"/>
  <c r="M316" i="3" s="1"/>
  <c r="Y315" i="3"/>
  <c r="S315" i="3"/>
  <c r="T315" i="3" s="1"/>
  <c r="L315" i="3"/>
  <c r="M315" i="3" s="1"/>
  <c r="Y314" i="3"/>
  <c r="S314" i="3"/>
  <c r="T314" i="3" s="1"/>
  <c r="L314" i="3"/>
  <c r="M314" i="3" s="1"/>
  <c r="Y313" i="3"/>
  <c r="S313" i="3"/>
  <c r="T313" i="3" s="1"/>
  <c r="L313" i="3"/>
  <c r="M313" i="3" s="1"/>
  <c r="Y312" i="3"/>
  <c r="S312" i="3"/>
  <c r="T312" i="3" s="1"/>
  <c r="L312" i="3"/>
  <c r="M312" i="3" s="1"/>
  <c r="Y311" i="3"/>
  <c r="S311" i="3"/>
  <c r="T311" i="3" s="1"/>
  <c r="L311" i="3"/>
  <c r="M311" i="3" s="1"/>
  <c r="Y310" i="3"/>
  <c r="S310" i="3"/>
  <c r="T310" i="3" s="1"/>
  <c r="L310" i="3"/>
  <c r="M310" i="3" s="1"/>
  <c r="Y309" i="3"/>
  <c r="S309" i="3"/>
  <c r="T309" i="3" s="1"/>
  <c r="L309" i="3"/>
  <c r="M309" i="3" s="1"/>
  <c r="Y308" i="3"/>
  <c r="S308" i="3"/>
  <c r="T308" i="3" s="1"/>
  <c r="L308" i="3"/>
  <c r="M308" i="3" s="1"/>
  <c r="Y307" i="3"/>
  <c r="S307" i="3"/>
  <c r="T307" i="3" s="1"/>
  <c r="L307" i="3"/>
  <c r="M307" i="3" s="1"/>
  <c r="Y306" i="3"/>
  <c r="S306" i="3"/>
  <c r="T306" i="3" s="1"/>
  <c r="L306" i="3"/>
  <c r="M306" i="3" s="1"/>
  <c r="Y305" i="3"/>
  <c r="S305" i="3"/>
  <c r="T305" i="3" s="1"/>
  <c r="L305" i="3"/>
  <c r="M305" i="3" s="1"/>
  <c r="Y304" i="3"/>
  <c r="S304" i="3"/>
  <c r="T304" i="3" s="1"/>
  <c r="L304" i="3"/>
  <c r="M304" i="3" s="1"/>
  <c r="Y303" i="3"/>
  <c r="S303" i="3"/>
  <c r="T303" i="3" s="1"/>
  <c r="L303" i="3"/>
  <c r="M303" i="3" s="1"/>
  <c r="Y302" i="3"/>
  <c r="S302" i="3"/>
  <c r="T302" i="3" s="1"/>
  <c r="L302" i="3"/>
  <c r="M302" i="3" s="1"/>
  <c r="Y301" i="3"/>
  <c r="S301" i="3"/>
  <c r="T301" i="3" s="1"/>
  <c r="L301" i="3"/>
  <c r="M301" i="3" s="1"/>
  <c r="Y300" i="3"/>
  <c r="S300" i="3"/>
  <c r="T300" i="3" s="1"/>
  <c r="L300" i="3"/>
  <c r="M300" i="3" s="1"/>
  <c r="Y299" i="3"/>
  <c r="S299" i="3"/>
  <c r="T299" i="3" s="1"/>
  <c r="L299" i="3"/>
  <c r="M299" i="3" s="1"/>
  <c r="Y298" i="3"/>
  <c r="S298" i="3"/>
  <c r="T298" i="3" s="1"/>
  <c r="L298" i="3"/>
  <c r="M298" i="3" s="1"/>
  <c r="Y297" i="3"/>
  <c r="S297" i="3"/>
  <c r="T297" i="3" s="1"/>
  <c r="L297" i="3"/>
  <c r="M297" i="3" s="1"/>
  <c r="Y296" i="3"/>
  <c r="S296" i="3"/>
  <c r="T296" i="3" s="1"/>
  <c r="L296" i="3"/>
  <c r="M296" i="3" s="1"/>
  <c r="Y295" i="3"/>
  <c r="S295" i="3"/>
  <c r="T295" i="3" s="1"/>
  <c r="L295" i="3"/>
  <c r="M295" i="3" s="1"/>
  <c r="Y294" i="3"/>
  <c r="S294" i="3"/>
  <c r="T294" i="3" s="1"/>
  <c r="L294" i="3"/>
  <c r="M294" i="3" s="1"/>
  <c r="Y293" i="3"/>
  <c r="S293" i="3"/>
  <c r="T293" i="3" s="1"/>
  <c r="L293" i="3"/>
  <c r="M293" i="3" s="1"/>
  <c r="Y292" i="3"/>
  <c r="S292" i="3"/>
  <c r="T292" i="3" s="1"/>
  <c r="L292" i="3"/>
  <c r="M292" i="3" s="1"/>
  <c r="Y291" i="3"/>
  <c r="S291" i="3"/>
  <c r="T291" i="3" s="1"/>
  <c r="L291" i="3"/>
  <c r="M291" i="3" s="1"/>
  <c r="Y290" i="3"/>
  <c r="S290" i="3"/>
  <c r="T290" i="3" s="1"/>
  <c r="L290" i="3"/>
  <c r="M290" i="3" s="1"/>
  <c r="Y289" i="3"/>
  <c r="S289" i="3"/>
  <c r="T289" i="3" s="1"/>
  <c r="L289" i="3"/>
  <c r="M289" i="3" s="1"/>
  <c r="Y288" i="3"/>
  <c r="S288" i="3"/>
  <c r="T288" i="3" s="1"/>
  <c r="L288" i="3"/>
  <c r="M288" i="3" s="1"/>
  <c r="Y287" i="3"/>
  <c r="S287" i="3"/>
  <c r="T287" i="3" s="1"/>
  <c r="L287" i="3"/>
  <c r="M287" i="3" s="1"/>
  <c r="Y286" i="3"/>
  <c r="S286" i="3"/>
  <c r="T286" i="3" s="1"/>
  <c r="L286" i="3"/>
  <c r="M286" i="3" s="1"/>
  <c r="Y285" i="3"/>
  <c r="S285" i="3"/>
  <c r="T285" i="3" s="1"/>
  <c r="L285" i="3"/>
  <c r="M285" i="3" s="1"/>
  <c r="Y284" i="3"/>
  <c r="S284" i="3"/>
  <c r="T284" i="3" s="1"/>
  <c r="L284" i="3"/>
  <c r="M284" i="3" s="1"/>
  <c r="Y283" i="3"/>
  <c r="S283" i="3"/>
  <c r="T283" i="3" s="1"/>
  <c r="L283" i="3"/>
  <c r="M283" i="3" s="1"/>
  <c r="Y282" i="3"/>
  <c r="S282" i="3"/>
  <c r="T282" i="3" s="1"/>
  <c r="L282" i="3"/>
  <c r="M282" i="3" s="1"/>
  <c r="Y281" i="3"/>
  <c r="S281" i="3"/>
  <c r="T281" i="3" s="1"/>
  <c r="L281" i="3"/>
  <c r="M281" i="3" s="1"/>
  <c r="Y280" i="3"/>
  <c r="S280" i="3"/>
  <c r="T280" i="3" s="1"/>
  <c r="L280" i="3"/>
  <c r="M280" i="3" s="1"/>
  <c r="Y279" i="3"/>
  <c r="S279" i="3"/>
  <c r="T279" i="3" s="1"/>
  <c r="L279" i="3"/>
  <c r="M279" i="3" s="1"/>
  <c r="Y278" i="3"/>
  <c r="S278" i="3"/>
  <c r="T278" i="3" s="1"/>
  <c r="L278" i="3"/>
  <c r="M278" i="3" s="1"/>
  <c r="Y277" i="3"/>
  <c r="S277" i="3"/>
  <c r="T277" i="3" s="1"/>
  <c r="L277" i="3"/>
  <c r="M277" i="3" s="1"/>
  <c r="Y276" i="3"/>
  <c r="S276" i="3"/>
  <c r="T276" i="3" s="1"/>
  <c r="L276" i="3"/>
  <c r="M276" i="3" s="1"/>
  <c r="Y275" i="3"/>
  <c r="S275" i="3"/>
  <c r="T275" i="3" s="1"/>
  <c r="L275" i="3"/>
  <c r="M275" i="3" s="1"/>
  <c r="Y274" i="3"/>
  <c r="S274" i="3"/>
  <c r="T274" i="3" s="1"/>
  <c r="L274" i="3"/>
  <c r="M274" i="3" s="1"/>
  <c r="Y273" i="3"/>
  <c r="S273" i="3"/>
  <c r="T273" i="3" s="1"/>
  <c r="L273" i="3"/>
  <c r="M273" i="3" s="1"/>
  <c r="Y272" i="3"/>
  <c r="S272" i="3"/>
  <c r="T272" i="3" s="1"/>
  <c r="L272" i="3"/>
  <c r="M272" i="3" s="1"/>
  <c r="Y271" i="3"/>
  <c r="S271" i="3"/>
  <c r="T271" i="3" s="1"/>
  <c r="L271" i="3"/>
  <c r="M271" i="3" s="1"/>
  <c r="Y270" i="3"/>
  <c r="S270" i="3"/>
  <c r="T270" i="3" s="1"/>
  <c r="L270" i="3"/>
  <c r="M270" i="3" s="1"/>
  <c r="Y269" i="3"/>
  <c r="S269" i="3"/>
  <c r="T269" i="3" s="1"/>
  <c r="L269" i="3"/>
  <c r="M269" i="3" s="1"/>
  <c r="Y268" i="3"/>
  <c r="S268" i="3"/>
  <c r="T268" i="3" s="1"/>
  <c r="L268" i="3"/>
  <c r="M268" i="3" s="1"/>
  <c r="Y267" i="3"/>
  <c r="S267" i="3"/>
  <c r="T267" i="3" s="1"/>
  <c r="L267" i="3"/>
  <c r="M267" i="3" s="1"/>
  <c r="Y266" i="3"/>
  <c r="S266" i="3"/>
  <c r="T266" i="3" s="1"/>
  <c r="L266" i="3"/>
  <c r="M266" i="3" s="1"/>
  <c r="Y265" i="3"/>
  <c r="S265" i="3"/>
  <c r="T265" i="3" s="1"/>
  <c r="L265" i="3"/>
  <c r="M265" i="3" s="1"/>
  <c r="Y264" i="3"/>
  <c r="S264" i="3"/>
  <c r="T264" i="3" s="1"/>
  <c r="L264" i="3"/>
  <c r="M264" i="3" s="1"/>
  <c r="Y263" i="3"/>
  <c r="S263" i="3"/>
  <c r="T263" i="3" s="1"/>
  <c r="L263" i="3"/>
  <c r="M263" i="3" s="1"/>
  <c r="Y262" i="3"/>
  <c r="S262" i="3"/>
  <c r="T262" i="3" s="1"/>
  <c r="L262" i="3"/>
  <c r="M262" i="3" s="1"/>
  <c r="Y261" i="3"/>
  <c r="S261" i="3"/>
  <c r="T261" i="3" s="1"/>
  <c r="L261" i="3"/>
  <c r="M261" i="3" s="1"/>
  <c r="Y260" i="3"/>
  <c r="S260" i="3"/>
  <c r="T260" i="3" s="1"/>
  <c r="L260" i="3"/>
  <c r="M260" i="3" s="1"/>
  <c r="Y259" i="3"/>
  <c r="S259" i="3"/>
  <c r="T259" i="3" s="1"/>
  <c r="L259" i="3"/>
  <c r="M259" i="3" s="1"/>
  <c r="Y258" i="3"/>
  <c r="S258" i="3"/>
  <c r="T258" i="3" s="1"/>
  <c r="L258" i="3"/>
  <c r="M258" i="3" s="1"/>
  <c r="Y257" i="3"/>
  <c r="S257" i="3"/>
  <c r="T257" i="3" s="1"/>
  <c r="L257" i="3"/>
  <c r="M257" i="3" s="1"/>
  <c r="Y256" i="3"/>
  <c r="S256" i="3"/>
  <c r="T256" i="3" s="1"/>
  <c r="L256" i="3"/>
  <c r="M256" i="3" s="1"/>
  <c r="Y255" i="3"/>
  <c r="S255" i="3"/>
  <c r="T255" i="3" s="1"/>
  <c r="L255" i="3"/>
  <c r="M255" i="3" s="1"/>
  <c r="Y254" i="3"/>
  <c r="S254" i="3"/>
  <c r="T254" i="3" s="1"/>
  <c r="L254" i="3"/>
  <c r="M254" i="3" s="1"/>
  <c r="Y253" i="3"/>
  <c r="S253" i="3"/>
  <c r="T253" i="3" s="1"/>
  <c r="L253" i="3"/>
  <c r="M253" i="3" s="1"/>
  <c r="Y252" i="3"/>
  <c r="S252" i="3"/>
  <c r="T252" i="3" s="1"/>
  <c r="L252" i="3"/>
  <c r="M252" i="3" s="1"/>
  <c r="Y251" i="3"/>
  <c r="S251" i="3"/>
  <c r="T251" i="3" s="1"/>
  <c r="L251" i="3"/>
  <c r="M251" i="3" s="1"/>
  <c r="Y250" i="3"/>
  <c r="S250" i="3"/>
  <c r="T250" i="3" s="1"/>
  <c r="L250" i="3"/>
  <c r="M250" i="3" s="1"/>
  <c r="Y249" i="3"/>
  <c r="S249" i="3"/>
  <c r="T249" i="3" s="1"/>
  <c r="L249" i="3"/>
  <c r="M249" i="3" s="1"/>
  <c r="Y248" i="3"/>
  <c r="S248" i="3"/>
  <c r="T248" i="3" s="1"/>
  <c r="L248" i="3"/>
  <c r="M248" i="3" s="1"/>
  <c r="Y247" i="3"/>
  <c r="S247" i="3"/>
  <c r="T247" i="3" s="1"/>
  <c r="L247" i="3"/>
  <c r="M247" i="3" s="1"/>
  <c r="Y246" i="3"/>
  <c r="S246" i="3"/>
  <c r="T246" i="3" s="1"/>
  <c r="L246" i="3"/>
  <c r="M246" i="3" s="1"/>
  <c r="Y245" i="3"/>
  <c r="S245" i="3"/>
  <c r="T245" i="3" s="1"/>
  <c r="L245" i="3"/>
  <c r="M245" i="3" s="1"/>
  <c r="Y244" i="3"/>
  <c r="S244" i="3"/>
  <c r="T244" i="3" s="1"/>
  <c r="L244" i="3"/>
  <c r="M244" i="3" s="1"/>
  <c r="Y243" i="3"/>
  <c r="S243" i="3"/>
  <c r="T243" i="3" s="1"/>
  <c r="L243" i="3"/>
  <c r="M243" i="3" s="1"/>
  <c r="Y242" i="3"/>
  <c r="S242" i="3"/>
  <c r="T242" i="3" s="1"/>
  <c r="L242" i="3"/>
  <c r="M242" i="3" s="1"/>
  <c r="Y241" i="3"/>
  <c r="S241" i="3"/>
  <c r="T241" i="3" s="1"/>
  <c r="L241" i="3"/>
  <c r="M241" i="3" s="1"/>
  <c r="Y240" i="3"/>
  <c r="S240" i="3"/>
  <c r="T240" i="3" s="1"/>
  <c r="L240" i="3"/>
  <c r="M240" i="3" s="1"/>
  <c r="Y239" i="3"/>
  <c r="S239" i="3"/>
  <c r="T239" i="3" s="1"/>
  <c r="L239" i="3"/>
  <c r="M239" i="3" s="1"/>
  <c r="Y238" i="3"/>
  <c r="S238" i="3"/>
  <c r="T238" i="3" s="1"/>
  <c r="L238" i="3"/>
  <c r="M238" i="3" s="1"/>
  <c r="Y237" i="3"/>
  <c r="S237" i="3"/>
  <c r="T237" i="3" s="1"/>
  <c r="L237" i="3"/>
  <c r="M237" i="3" s="1"/>
  <c r="Y236" i="3"/>
  <c r="S236" i="3"/>
  <c r="T236" i="3" s="1"/>
  <c r="L236" i="3"/>
  <c r="M236" i="3" s="1"/>
  <c r="Y235" i="3"/>
  <c r="S235" i="3"/>
  <c r="T235" i="3" s="1"/>
  <c r="L235" i="3"/>
  <c r="M235" i="3" s="1"/>
  <c r="Y234" i="3"/>
  <c r="S234" i="3"/>
  <c r="T234" i="3" s="1"/>
  <c r="L234" i="3"/>
  <c r="M234" i="3" s="1"/>
  <c r="Y233" i="3"/>
  <c r="S233" i="3"/>
  <c r="T233" i="3" s="1"/>
  <c r="L233" i="3"/>
  <c r="M233" i="3" s="1"/>
  <c r="Y232" i="3"/>
  <c r="S232" i="3"/>
  <c r="T232" i="3" s="1"/>
  <c r="L232" i="3"/>
  <c r="M232" i="3" s="1"/>
  <c r="Y231" i="3"/>
  <c r="S231" i="3"/>
  <c r="T231" i="3" s="1"/>
  <c r="L231" i="3"/>
  <c r="M231" i="3" s="1"/>
  <c r="Y230" i="3"/>
  <c r="S230" i="3"/>
  <c r="T230" i="3" s="1"/>
  <c r="L230" i="3"/>
  <c r="M230" i="3" s="1"/>
  <c r="Y229" i="3"/>
  <c r="S229" i="3"/>
  <c r="T229" i="3" s="1"/>
  <c r="L229" i="3"/>
  <c r="M229" i="3" s="1"/>
  <c r="Y228" i="3"/>
  <c r="S228" i="3"/>
  <c r="T228" i="3" s="1"/>
  <c r="L228" i="3"/>
  <c r="M228" i="3" s="1"/>
  <c r="Y227" i="3"/>
  <c r="S227" i="3"/>
  <c r="T227" i="3" s="1"/>
  <c r="L227" i="3"/>
  <c r="M227" i="3" s="1"/>
  <c r="Y226" i="3"/>
  <c r="S226" i="3"/>
  <c r="T226" i="3" s="1"/>
  <c r="L226" i="3"/>
  <c r="M226" i="3" s="1"/>
  <c r="Y225" i="3"/>
  <c r="S225" i="3"/>
  <c r="T225" i="3" s="1"/>
  <c r="L225" i="3"/>
  <c r="M225" i="3" s="1"/>
  <c r="Y224" i="3"/>
  <c r="S224" i="3"/>
  <c r="T224" i="3" s="1"/>
  <c r="L224" i="3"/>
  <c r="M224" i="3" s="1"/>
  <c r="Y223" i="3"/>
  <c r="S223" i="3"/>
  <c r="T223" i="3" s="1"/>
  <c r="L223" i="3"/>
  <c r="M223" i="3" s="1"/>
  <c r="Y222" i="3"/>
  <c r="S222" i="3"/>
  <c r="T222" i="3" s="1"/>
  <c r="L222" i="3"/>
  <c r="M222" i="3" s="1"/>
  <c r="Y221" i="3"/>
  <c r="S221" i="3"/>
  <c r="T221" i="3" s="1"/>
  <c r="L221" i="3"/>
  <c r="M221" i="3" s="1"/>
  <c r="Y220" i="3"/>
  <c r="S220" i="3"/>
  <c r="T220" i="3" s="1"/>
  <c r="L220" i="3"/>
  <c r="M220" i="3" s="1"/>
  <c r="Y219" i="3"/>
  <c r="S219" i="3"/>
  <c r="T219" i="3" s="1"/>
  <c r="L219" i="3"/>
  <c r="M219" i="3" s="1"/>
  <c r="Y218" i="3"/>
  <c r="S218" i="3"/>
  <c r="T218" i="3" s="1"/>
  <c r="L218" i="3"/>
  <c r="M218" i="3" s="1"/>
  <c r="Y217" i="3"/>
  <c r="S217" i="3"/>
  <c r="T217" i="3" s="1"/>
  <c r="L217" i="3"/>
  <c r="M217" i="3" s="1"/>
  <c r="Y216" i="3"/>
  <c r="S216" i="3"/>
  <c r="T216" i="3" s="1"/>
  <c r="L216" i="3"/>
  <c r="M216" i="3" s="1"/>
  <c r="Y215" i="3"/>
  <c r="S215" i="3"/>
  <c r="T215" i="3" s="1"/>
  <c r="L215" i="3"/>
  <c r="M215" i="3" s="1"/>
  <c r="Y214" i="3"/>
  <c r="S214" i="3"/>
  <c r="T214" i="3" s="1"/>
  <c r="L214" i="3"/>
  <c r="M214" i="3" s="1"/>
  <c r="Y213" i="3"/>
  <c r="S213" i="3"/>
  <c r="T213" i="3" s="1"/>
  <c r="L213" i="3"/>
  <c r="M213" i="3" s="1"/>
  <c r="Y212" i="3"/>
  <c r="S212" i="3"/>
  <c r="T212" i="3" s="1"/>
  <c r="L212" i="3"/>
  <c r="M212" i="3" s="1"/>
  <c r="Y211" i="3"/>
  <c r="S211" i="3"/>
  <c r="T211" i="3" s="1"/>
  <c r="L211" i="3"/>
  <c r="M211" i="3" s="1"/>
  <c r="Y210" i="3"/>
  <c r="S210" i="3"/>
  <c r="T210" i="3" s="1"/>
  <c r="L210" i="3"/>
  <c r="M210" i="3" s="1"/>
  <c r="Y209" i="3"/>
  <c r="S209" i="3"/>
  <c r="T209" i="3" s="1"/>
  <c r="L209" i="3"/>
  <c r="M209" i="3" s="1"/>
  <c r="Y208" i="3"/>
  <c r="S208" i="3"/>
  <c r="T208" i="3" s="1"/>
  <c r="L208" i="3"/>
  <c r="M208" i="3" s="1"/>
  <c r="Y207" i="3"/>
  <c r="S207" i="3"/>
  <c r="T207" i="3" s="1"/>
  <c r="L207" i="3"/>
  <c r="M207" i="3" s="1"/>
  <c r="Y206" i="3"/>
  <c r="S206" i="3"/>
  <c r="T206" i="3" s="1"/>
  <c r="L206" i="3"/>
  <c r="M206" i="3" s="1"/>
  <c r="Y205" i="3"/>
  <c r="S205" i="3"/>
  <c r="T205" i="3" s="1"/>
  <c r="L205" i="3"/>
  <c r="M205" i="3" s="1"/>
  <c r="Y204" i="3"/>
  <c r="S204" i="3"/>
  <c r="T204" i="3" s="1"/>
  <c r="L204" i="3"/>
  <c r="M204" i="3" s="1"/>
  <c r="Y203" i="3"/>
  <c r="S203" i="3"/>
  <c r="T203" i="3" s="1"/>
  <c r="L203" i="3"/>
  <c r="M203" i="3" s="1"/>
  <c r="Y202" i="3"/>
  <c r="S202" i="3"/>
  <c r="T202" i="3" s="1"/>
  <c r="L202" i="3"/>
  <c r="M202" i="3" s="1"/>
  <c r="Y201" i="3"/>
  <c r="S201" i="3"/>
  <c r="T201" i="3" s="1"/>
  <c r="L201" i="3"/>
  <c r="M201" i="3" s="1"/>
  <c r="Y200" i="3"/>
  <c r="S200" i="3"/>
  <c r="T200" i="3" s="1"/>
  <c r="L200" i="3"/>
  <c r="M200" i="3" s="1"/>
  <c r="Y199" i="3"/>
  <c r="S199" i="3"/>
  <c r="T199" i="3" s="1"/>
  <c r="L199" i="3"/>
  <c r="M199" i="3" s="1"/>
  <c r="Y198" i="3"/>
  <c r="S198" i="3"/>
  <c r="T198" i="3" s="1"/>
  <c r="L198" i="3"/>
  <c r="M198" i="3" s="1"/>
  <c r="Y197" i="3"/>
  <c r="S197" i="3"/>
  <c r="T197" i="3" s="1"/>
  <c r="L197" i="3"/>
  <c r="M197" i="3" s="1"/>
  <c r="Y196" i="3"/>
  <c r="S196" i="3"/>
  <c r="T196" i="3" s="1"/>
  <c r="L196" i="3"/>
  <c r="M196" i="3" s="1"/>
  <c r="Y195" i="3"/>
  <c r="S195" i="3"/>
  <c r="T195" i="3" s="1"/>
  <c r="L195" i="3"/>
  <c r="M195" i="3" s="1"/>
  <c r="Y194" i="3"/>
  <c r="S194" i="3"/>
  <c r="T194" i="3" s="1"/>
  <c r="L194" i="3"/>
  <c r="M194" i="3" s="1"/>
  <c r="Y193" i="3"/>
  <c r="S193" i="3"/>
  <c r="T193" i="3" s="1"/>
  <c r="L193" i="3"/>
  <c r="M193" i="3" s="1"/>
  <c r="Y192" i="3"/>
  <c r="S192" i="3"/>
  <c r="T192" i="3" s="1"/>
  <c r="L192" i="3"/>
  <c r="M192" i="3" s="1"/>
  <c r="Y191" i="3"/>
  <c r="S191" i="3"/>
  <c r="T191" i="3" s="1"/>
  <c r="L191" i="3"/>
  <c r="M191" i="3" s="1"/>
  <c r="Y190" i="3"/>
  <c r="S190" i="3"/>
  <c r="T190" i="3" s="1"/>
  <c r="L190" i="3"/>
  <c r="M190" i="3" s="1"/>
  <c r="Y189" i="3"/>
  <c r="S189" i="3"/>
  <c r="T189" i="3" s="1"/>
  <c r="L189" i="3"/>
  <c r="M189" i="3" s="1"/>
  <c r="Y188" i="3"/>
  <c r="S188" i="3"/>
  <c r="T188" i="3" s="1"/>
  <c r="L188" i="3"/>
  <c r="M188" i="3" s="1"/>
  <c r="Y187" i="3"/>
  <c r="S187" i="3"/>
  <c r="T187" i="3" s="1"/>
  <c r="L187" i="3"/>
  <c r="M187" i="3" s="1"/>
  <c r="Y186" i="3"/>
  <c r="S186" i="3"/>
  <c r="T186" i="3" s="1"/>
  <c r="L186" i="3"/>
  <c r="M186" i="3" s="1"/>
  <c r="Y185" i="3"/>
  <c r="S185" i="3"/>
  <c r="T185" i="3" s="1"/>
  <c r="L185" i="3"/>
  <c r="M185" i="3" s="1"/>
  <c r="Y184" i="3"/>
  <c r="S184" i="3"/>
  <c r="T184" i="3" s="1"/>
  <c r="L184" i="3"/>
  <c r="M184" i="3" s="1"/>
  <c r="Y183" i="3"/>
  <c r="S183" i="3"/>
  <c r="T183" i="3" s="1"/>
  <c r="L183" i="3"/>
  <c r="M183" i="3" s="1"/>
  <c r="Y182" i="3"/>
  <c r="S182" i="3"/>
  <c r="T182" i="3" s="1"/>
  <c r="L182" i="3"/>
  <c r="M182" i="3" s="1"/>
  <c r="Y181" i="3"/>
  <c r="S181" i="3"/>
  <c r="T181" i="3" s="1"/>
  <c r="L181" i="3"/>
  <c r="M181" i="3" s="1"/>
  <c r="Y180" i="3"/>
  <c r="S180" i="3"/>
  <c r="T180" i="3" s="1"/>
  <c r="L180" i="3"/>
  <c r="M180" i="3" s="1"/>
  <c r="Y179" i="3"/>
  <c r="S179" i="3"/>
  <c r="T179" i="3" s="1"/>
  <c r="L179" i="3"/>
  <c r="M179" i="3" s="1"/>
  <c r="Y178" i="3"/>
  <c r="S178" i="3"/>
  <c r="T178" i="3" s="1"/>
  <c r="L178" i="3"/>
  <c r="M178" i="3" s="1"/>
  <c r="Y177" i="3"/>
  <c r="S177" i="3"/>
  <c r="T177" i="3" s="1"/>
  <c r="L177" i="3"/>
  <c r="M177" i="3" s="1"/>
  <c r="Y176" i="3"/>
  <c r="S176" i="3"/>
  <c r="T176" i="3" s="1"/>
  <c r="L176" i="3"/>
  <c r="M176" i="3" s="1"/>
  <c r="Y175" i="3"/>
  <c r="S175" i="3"/>
  <c r="T175" i="3" s="1"/>
  <c r="L175" i="3"/>
  <c r="M175" i="3" s="1"/>
  <c r="Y174" i="3"/>
  <c r="S174" i="3"/>
  <c r="T174" i="3" s="1"/>
  <c r="L174" i="3"/>
  <c r="M174" i="3" s="1"/>
  <c r="Y173" i="3"/>
  <c r="S173" i="3"/>
  <c r="T173" i="3" s="1"/>
  <c r="L173" i="3"/>
  <c r="M173" i="3" s="1"/>
  <c r="Y172" i="3"/>
  <c r="S172" i="3"/>
  <c r="T172" i="3" s="1"/>
  <c r="L172" i="3"/>
  <c r="M172" i="3" s="1"/>
  <c r="Y171" i="3"/>
  <c r="S171" i="3"/>
  <c r="T171" i="3" s="1"/>
  <c r="L171" i="3"/>
  <c r="M171" i="3" s="1"/>
  <c r="Y170" i="3"/>
  <c r="S170" i="3"/>
  <c r="T170" i="3" s="1"/>
  <c r="L170" i="3"/>
  <c r="M170" i="3" s="1"/>
  <c r="Y169" i="3"/>
  <c r="S169" i="3"/>
  <c r="T169" i="3" s="1"/>
  <c r="L169" i="3"/>
  <c r="M169" i="3" s="1"/>
  <c r="Y168" i="3"/>
  <c r="S168" i="3"/>
  <c r="T168" i="3" s="1"/>
  <c r="L168" i="3"/>
  <c r="M168" i="3" s="1"/>
  <c r="Y167" i="3"/>
  <c r="S167" i="3"/>
  <c r="T167" i="3" s="1"/>
  <c r="L167" i="3"/>
  <c r="M167" i="3" s="1"/>
  <c r="Y166" i="3"/>
  <c r="S166" i="3"/>
  <c r="T166" i="3" s="1"/>
  <c r="L166" i="3"/>
  <c r="M166" i="3" s="1"/>
  <c r="Y165" i="3"/>
  <c r="S165" i="3"/>
  <c r="T165" i="3" s="1"/>
  <c r="L165" i="3"/>
  <c r="M165" i="3" s="1"/>
  <c r="Y164" i="3"/>
  <c r="S164" i="3"/>
  <c r="T164" i="3" s="1"/>
  <c r="L164" i="3"/>
  <c r="M164" i="3" s="1"/>
  <c r="Y163" i="3"/>
  <c r="S163" i="3"/>
  <c r="T163" i="3" s="1"/>
  <c r="L163" i="3"/>
  <c r="M163" i="3" s="1"/>
  <c r="Y162" i="3"/>
  <c r="S162" i="3"/>
  <c r="T162" i="3" s="1"/>
  <c r="L162" i="3"/>
  <c r="M162" i="3" s="1"/>
  <c r="Y161" i="3"/>
  <c r="S161" i="3"/>
  <c r="T161" i="3" s="1"/>
  <c r="L161" i="3"/>
  <c r="M161" i="3" s="1"/>
  <c r="Y160" i="3"/>
  <c r="S160" i="3"/>
  <c r="T160" i="3" s="1"/>
  <c r="L160" i="3"/>
  <c r="M160" i="3" s="1"/>
  <c r="Y159" i="3"/>
  <c r="S159" i="3"/>
  <c r="T159" i="3" s="1"/>
  <c r="L159" i="3"/>
  <c r="M159" i="3" s="1"/>
  <c r="Y158" i="3"/>
  <c r="S158" i="3"/>
  <c r="T158" i="3" s="1"/>
  <c r="L158" i="3"/>
  <c r="M158" i="3" s="1"/>
  <c r="Y157" i="3"/>
  <c r="S157" i="3"/>
  <c r="T157" i="3" s="1"/>
  <c r="L157" i="3"/>
  <c r="M157" i="3" s="1"/>
  <c r="Y156" i="3"/>
  <c r="S156" i="3"/>
  <c r="T156" i="3" s="1"/>
  <c r="L156" i="3"/>
  <c r="M156" i="3" s="1"/>
  <c r="Y155" i="3"/>
  <c r="S155" i="3"/>
  <c r="T155" i="3" s="1"/>
  <c r="L155" i="3"/>
  <c r="M155" i="3" s="1"/>
  <c r="Y154" i="3"/>
  <c r="S154" i="3"/>
  <c r="T154" i="3" s="1"/>
  <c r="L154" i="3"/>
  <c r="M154" i="3" s="1"/>
  <c r="Y153" i="3"/>
  <c r="S153" i="3"/>
  <c r="T153" i="3" s="1"/>
  <c r="L153" i="3"/>
  <c r="M153" i="3" s="1"/>
  <c r="Y152" i="3"/>
  <c r="S152" i="3"/>
  <c r="T152" i="3" s="1"/>
  <c r="L152" i="3"/>
  <c r="M152" i="3" s="1"/>
  <c r="Y151" i="3"/>
  <c r="S151" i="3"/>
  <c r="T151" i="3" s="1"/>
  <c r="L151" i="3"/>
  <c r="M151" i="3" s="1"/>
  <c r="Y150" i="3"/>
  <c r="S150" i="3"/>
  <c r="T150" i="3" s="1"/>
  <c r="L150" i="3"/>
  <c r="M150" i="3" s="1"/>
  <c r="Y149" i="3"/>
  <c r="S149" i="3"/>
  <c r="T149" i="3" s="1"/>
  <c r="L149" i="3"/>
  <c r="M149" i="3" s="1"/>
  <c r="Y148" i="3"/>
  <c r="S148" i="3"/>
  <c r="T148" i="3" s="1"/>
  <c r="L148" i="3"/>
  <c r="M148" i="3" s="1"/>
  <c r="Y147" i="3"/>
  <c r="S147" i="3"/>
  <c r="T147" i="3" s="1"/>
  <c r="L147" i="3"/>
  <c r="M147" i="3" s="1"/>
  <c r="Y146" i="3"/>
  <c r="S146" i="3"/>
  <c r="T146" i="3" s="1"/>
  <c r="L146" i="3"/>
  <c r="M146" i="3" s="1"/>
  <c r="Y145" i="3"/>
  <c r="S145" i="3"/>
  <c r="T145" i="3" s="1"/>
  <c r="L145" i="3"/>
  <c r="M145" i="3" s="1"/>
  <c r="Y144" i="3"/>
  <c r="S144" i="3"/>
  <c r="T144" i="3" s="1"/>
  <c r="L144" i="3"/>
  <c r="M144" i="3" s="1"/>
  <c r="Y143" i="3"/>
  <c r="S143" i="3"/>
  <c r="T143" i="3" s="1"/>
  <c r="L143" i="3"/>
  <c r="M143" i="3" s="1"/>
  <c r="Y142" i="3"/>
  <c r="S142" i="3"/>
  <c r="T142" i="3" s="1"/>
  <c r="L142" i="3"/>
  <c r="M142" i="3" s="1"/>
  <c r="Y141" i="3"/>
  <c r="S141" i="3"/>
  <c r="T141" i="3" s="1"/>
  <c r="L141" i="3"/>
  <c r="M141" i="3" s="1"/>
  <c r="Y140" i="3"/>
  <c r="S140" i="3"/>
  <c r="T140" i="3" s="1"/>
  <c r="L140" i="3"/>
  <c r="M140" i="3" s="1"/>
  <c r="Y139" i="3"/>
  <c r="S139" i="3"/>
  <c r="T139" i="3" s="1"/>
  <c r="L139" i="3"/>
  <c r="M139" i="3" s="1"/>
  <c r="Y138" i="3"/>
  <c r="S138" i="3"/>
  <c r="T138" i="3" s="1"/>
  <c r="L138" i="3"/>
  <c r="M138" i="3" s="1"/>
  <c r="Y137" i="3"/>
  <c r="S137" i="3"/>
  <c r="T137" i="3" s="1"/>
  <c r="L137" i="3"/>
  <c r="M137" i="3" s="1"/>
  <c r="Y136" i="3"/>
  <c r="S136" i="3"/>
  <c r="T136" i="3" s="1"/>
  <c r="L136" i="3"/>
  <c r="M136" i="3" s="1"/>
  <c r="Y135" i="3"/>
  <c r="S135" i="3"/>
  <c r="T135" i="3" s="1"/>
  <c r="L135" i="3"/>
  <c r="M135" i="3" s="1"/>
  <c r="Y134" i="3"/>
  <c r="S134" i="3"/>
  <c r="T134" i="3" s="1"/>
  <c r="L134" i="3"/>
  <c r="M134" i="3" s="1"/>
  <c r="Y133" i="3"/>
  <c r="S133" i="3"/>
  <c r="T133" i="3" s="1"/>
  <c r="L133" i="3"/>
  <c r="M133" i="3" s="1"/>
  <c r="Y132" i="3"/>
  <c r="S132" i="3"/>
  <c r="T132" i="3" s="1"/>
  <c r="L132" i="3"/>
  <c r="M132" i="3" s="1"/>
  <c r="Y131" i="3"/>
  <c r="S131" i="3"/>
  <c r="T131" i="3" s="1"/>
  <c r="L131" i="3"/>
  <c r="M131" i="3" s="1"/>
  <c r="Y130" i="3"/>
  <c r="S130" i="3"/>
  <c r="T130" i="3" s="1"/>
  <c r="L130" i="3"/>
  <c r="M130" i="3" s="1"/>
  <c r="Y129" i="3"/>
  <c r="S129" i="3"/>
  <c r="T129" i="3" s="1"/>
  <c r="L129" i="3"/>
  <c r="M129" i="3" s="1"/>
  <c r="Y128" i="3"/>
  <c r="S128" i="3"/>
  <c r="T128" i="3" s="1"/>
  <c r="L128" i="3"/>
  <c r="M128" i="3" s="1"/>
  <c r="Y127" i="3"/>
  <c r="S127" i="3"/>
  <c r="T127" i="3" s="1"/>
  <c r="L127" i="3"/>
  <c r="M127" i="3" s="1"/>
  <c r="Y126" i="3"/>
  <c r="S126" i="3"/>
  <c r="T126" i="3" s="1"/>
  <c r="L126" i="3"/>
  <c r="M126" i="3" s="1"/>
  <c r="Y125" i="3"/>
  <c r="S125" i="3"/>
  <c r="T125" i="3" s="1"/>
  <c r="L125" i="3"/>
  <c r="M125" i="3" s="1"/>
  <c r="Y124" i="3"/>
  <c r="S124" i="3"/>
  <c r="T124" i="3" s="1"/>
  <c r="L124" i="3"/>
  <c r="M124" i="3" s="1"/>
  <c r="Y123" i="3"/>
  <c r="S123" i="3"/>
  <c r="T123" i="3" s="1"/>
  <c r="L123" i="3"/>
  <c r="M123" i="3" s="1"/>
  <c r="Y122" i="3"/>
  <c r="S122" i="3"/>
  <c r="T122" i="3" s="1"/>
  <c r="L122" i="3"/>
  <c r="M122" i="3" s="1"/>
  <c r="Y121" i="3"/>
  <c r="S121" i="3"/>
  <c r="T121" i="3" s="1"/>
  <c r="L121" i="3"/>
  <c r="M121" i="3" s="1"/>
  <c r="Y120" i="3"/>
  <c r="S120" i="3"/>
  <c r="T120" i="3" s="1"/>
  <c r="L120" i="3"/>
  <c r="M120" i="3" s="1"/>
  <c r="Y119" i="3"/>
  <c r="S119" i="3"/>
  <c r="T119" i="3" s="1"/>
  <c r="L119" i="3"/>
  <c r="M119" i="3" s="1"/>
  <c r="Y118" i="3"/>
  <c r="S118" i="3"/>
  <c r="T118" i="3" s="1"/>
  <c r="L118" i="3"/>
  <c r="M118" i="3" s="1"/>
  <c r="Y117" i="3"/>
  <c r="S117" i="3"/>
  <c r="T117" i="3" s="1"/>
  <c r="L117" i="3"/>
  <c r="M117" i="3" s="1"/>
  <c r="Y116" i="3"/>
  <c r="S116" i="3"/>
  <c r="T116" i="3" s="1"/>
  <c r="L116" i="3"/>
  <c r="M116" i="3" s="1"/>
  <c r="Y115" i="3"/>
  <c r="S115" i="3"/>
  <c r="T115" i="3" s="1"/>
  <c r="L115" i="3"/>
  <c r="M115" i="3" s="1"/>
  <c r="Y114" i="3"/>
  <c r="S114" i="3"/>
  <c r="T114" i="3" s="1"/>
  <c r="L114" i="3"/>
  <c r="M114" i="3" s="1"/>
  <c r="Y113" i="3"/>
  <c r="S113" i="3"/>
  <c r="T113" i="3" s="1"/>
  <c r="L113" i="3"/>
  <c r="M113" i="3" s="1"/>
  <c r="Y112" i="3"/>
  <c r="S112" i="3"/>
  <c r="T112" i="3" s="1"/>
  <c r="L112" i="3"/>
  <c r="M112" i="3" s="1"/>
  <c r="Y111" i="3"/>
  <c r="S111" i="3"/>
  <c r="T111" i="3" s="1"/>
  <c r="L111" i="3"/>
  <c r="M111" i="3" s="1"/>
  <c r="Y110" i="3"/>
  <c r="S110" i="3"/>
  <c r="T110" i="3" s="1"/>
  <c r="L110" i="3"/>
  <c r="M110" i="3" s="1"/>
  <c r="Y109" i="3"/>
  <c r="S109" i="3"/>
  <c r="T109" i="3" s="1"/>
  <c r="L109" i="3"/>
  <c r="M109" i="3" s="1"/>
  <c r="Y108" i="3"/>
  <c r="S108" i="3"/>
  <c r="T108" i="3" s="1"/>
  <c r="L108" i="3"/>
  <c r="M108" i="3" s="1"/>
  <c r="Y107" i="3"/>
  <c r="S107" i="3"/>
  <c r="T107" i="3" s="1"/>
  <c r="L107" i="3"/>
  <c r="M107" i="3" s="1"/>
  <c r="Y106" i="3"/>
  <c r="S106" i="3"/>
  <c r="T106" i="3" s="1"/>
  <c r="L106" i="3"/>
  <c r="M106" i="3" s="1"/>
  <c r="Y105" i="3"/>
  <c r="S105" i="3"/>
  <c r="T105" i="3" s="1"/>
  <c r="L105" i="3"/>
  <c r="M105" i="3" s="1"/>
  <c r="Y104" i="3"/>
  <c r="S104" i="3"/>
  <c r="T104" i="3" s="1"/>
  <c r="L104" i="3"/>
  <c r="M104" i="3" s="1"/>
  <c r="Y103" i="3"/>
  <c r="S103" i="3"/>
  <c r="T103" i="3" s="1"/>
  <c r="L103" i="3"/>
  <c r="M103" i="3" s="1"/>
  <c r="Y102" i="3"/>
  <c r="S102" i="3"/>
  <c r="T102" i="3" s="1"/>
  <c r="L102" i="3"/>
  <c r="M102" i="3" s="1"/>
  <c r="Y101" i="3"/>
  <c r="S101" i="3"/>
  <c r="T101" i="3" s="1"/>
  <c r="L101" i="3"/>
  <c r="M101" i="3" s="1"/>
  <c r="Y100" i="3"/>
  <c r="S100" i="3"/>
  <c r="T100" i="3" s="1"/>
  <c r="L100" i="3"/>
  <c r="M100" i="3" s="1"/>
  <c r="Y99" i="3"/>
  <c r="S99" i="3"/>
  <c r="T99" i="3" s="1"/>
  <c r="L99" i="3"/>
  <c r="M99" i="3" s="1"/>
  <c r="Y98" i="3"/>
  <c r="S98" i="3"/>
  <c r="T98" i="3" s="1"/>
  <c r="L98" i="3"/>
  <c r="M98" i="3" s="1"/>
  <c r="Y97" i="3"/>
  <c r="S97" i="3"/>
  <c r="T97" i="3" s="1"/>
  <c r="L97" i="3"/>
  <c r="M97" i="3" s="1"/>
  <c r="Y96" i="3"/>
  <c r="S96" i="3"/>
  <c r="T96" i="3" s="1"/>
  <c r="L96" i="3"/>
  <c r="M96" i="3" s="1"/>
  <c r="Y95" i="3"/>
  <c r="S95" i="3"/>
  <c r="T95" i="3" s="1"/>
  <c r="L95" i="3"/>
  <c r="M95" i="3" s="1"/>
  <c r="Y94" i="3"/>
  <c r="S94" i="3"/>
  <c r="T94" i="3" s="1"/>
  <c r="L94" i="3"/>
  <c r="M94" i="3" s="1"/>
  <c r="Y93" i="3"/>
  <c r="S93" i="3"/>
  <c r="T93" i="3" s="1"/>
  <c r="L93" i="3"/>
  <c r="M93" i="3" s="1"/>
  <c r="Y92" i="3"/>
  <c r="S92" i="3"/>
  <c r="T92" i="3" s="1"/>
  <c r="L92" i="3"/>
  <c r="M92" i="3" s="1"/>
  <c r="Y91" i="3"/>
  <c r="S91" i="3"/>
  <c r="T91" i="3" s="1"/>
  <c r="L91" i="3"/>
  <c r="M91" i="3" s="1"/>
  <c r="Y90" i="3"/>
  <c r="S90" i="3"/>
  <c r="T90" i="3" s="1"/>
  <c r="L90" i="3"/>
  <c r="M90" i="3" s="1"/>
  <c r="Y89" i="3"/>
  <c r="S89" i="3"/>
  <c r="T89" i="3" s="1"/>
  <c r="L89" i="3"/>
  <c r="M89" i="3" s="1"/>
  <c r="Y88" i="3"/>
  <c r="S88" i="3"/>
  <c r="T88" i="3" s="1"/>
  <c r="L88" i="3"/>
  <c r="M88" i="3" s="1"/>
  <c r="Y87" i="3"/>
  <c r="S87" i="3"/>
  <c r="T87" i="3" s="1"/>
  <c r="L87" i="3"/>
  <c r="M87" i="3" s="1"/>
  <c r="Y86" i="3"/>
  <c r="S86" i="3"/>
  <c r="T86" i="3" s="1"/>
  <c r="L86" i="3"/>
  <c r="M86" i="3" s="1"/>
  <c r="Y85" i="3"/>
  <c r="S85" i="3"/>
  <c r="T85" i="3" s="1"/>
  <c r="L85" i="3"/>
  <c r="M85" i="3" s="1"/>
  <c r="Y84" i="3"/>
  <c r="S84" i="3"/>
  <c r="T84" i="3" s="1"/>
  <c r="L84" i="3"/>
  <c r="M84" i="3" s="1"/>
  <c r="Y83" i="3"/>
  <c r="S83" i="3"/>
  <c r="T83" i="3" s="1"/>
  <c r="L83" i="3"/>
  <c r="M83" i="3" s="1"/>
  <c r="Y82" i="3"/>
  <c r="S82" i="3"/>
  <c r="T82" i="3" s="1"/>
  <c r="L82" i="3"/>
  <c r="M82" i="3" s="1"/>
  <c r="Y81" i="3"/>
  <c r="S81" i="3"/>
  <c r="T81" i="3" s="1"/>
  <c r="L81" i="3"/>
  <c r="M81" i="3" s="1"/>
  <c r="Y80" i="3"/>
  <c r="S80" i="3"/>
  <c r="T80" i="3" s="1"/>
  <c r="L80" i="3"/>
  <c r="M80" i="3" s="1"/>
  <c r="Y79" i="3"/>
  <c r="S79" i="3"/>
  <c r="T79" i="3" s="1"/>
  <c r="L79" i="3"/>
  <c r="M79" i="3" s="1"/>
  <c r="Y78" i="3"/>
  <c r="S78" i="3"/>
  <c r="T78" i="3" s="1"/>
  <c r="L78" i="3"/>
  <c r="M78" i="3" s="1"/>
  <c r="Y77" i="3"/>
  <c r="S77" i="3"/>
  <c r="T77" i="3" s="1"/>
  <c r="L77" i="3"/>
  <c r="M77" i="3" s="1"/>
  <c r="Y76" i="3"/>
  <c r="S76" i="3"/>
  <c r="T76" i="3" s="1"/>
  <c r="L76" i="3"/>
  <c r="M76" i="3" s="1"/>
  <c r="Y75" i="3"/>
  <c r="S75" i="3"/>
  <c r="T75" i="3" s="1"/>
  <c r="L75" i="3"/>
  <c r="M75" i="3" s="1"/>
  <c r="Y74" i="3"/>
  <c r="S74" i="3"/>
  <c r="T74" i="3" s="1"/>
  <c r="L74" i="3"/>
  <c r="M74" i="3" s="1"/>
  <c r="Y73" i="3"/>
  <c r="S73" i="3"/>
  <c r="T73" i="3" s="1"/>
  <c r="L73" i="3"/>
  <c r="M73" i="3" s="1"/>
  <c r="Y72" i="3"/>
  <c r="S72" i="3"/>
  <c r="T72" i="3" s="1"/>
  <c r="L72" i="3"/>
  <c r="M72" i="3" s="1"/>
  <c r="Y71" i="3"/>
  <c r="S71" i="3"/>
  <c r="T71" i="3" s="1"/>
  <c r="L71" i="3"/>
  <c r="M71" i="3" s="1"/>
  <c r="Y70" i="3"/>
  <c r="S70" i="3"/>
  <c r="T70" i="3" s="1"/>
  <c r="L70" i="3"/>
  <c r="M70" i="3" s="1"/>
  <c r="Y69" i="3"/>
  <c r="S69" i="3"/>
  <c r="T69" i="3" s="1"/>
  <c r="L69" i="3"/>
  <c r="M69" i="3" s="1"/>
  <c r="Y68" i="3"/>
  <c r="S68" i="3"/>
  <c r="T68" i="3" s="1"/>
  <c r="L68" i="3"/>
  <c r="M68" i="3" s="1"/>
  <c r="Y67" i="3"/>
  <c r="S67" i="3"/>
  <c r="T67" i="3" s="1"/>
  <c r="L67" i="3"/>
  <c r="M67" i="3" s="1"/>
  <c r="Y66" i="3"/>
  <c r="S66" i="3"/>
  <c r="T66" i="3" s="1"/>
  <c r="L66" i="3"/>
  <c r="M66" i="3" s="1"/>
  <c r="Y65" i="3"/>
  <c r="S65" i="3"/>
  <c r="T65" i="3" s="1"/>
  <c r="L65" i="3"/>
  <c r="M65" i="3" s="1"/>
  <c r="Y64" i="3"/>
  <c r="S64" i="3"/>
  <c r="T64" i="3" s="1"/>
  <c r="L64" i="3"/>
  <c r="M64" i="3" s="1"/>
  <c r="Y63" i="3"/>
  <c r="S63" i="3"/>
  <c r="T63" i="3" s="1"/>
  <c r="L63" i="3"/>
  <c r="M63" i="3" s="1"/>
  <c r="Y62" i="3"/>
  <c r="S62" i="3"/>
  <c r="T62" i="3" s="1"/>
  <c r="L62" i="3"/>
  <c r="M62" i="3" s="1"/>
  <c r="Y61" i="3"/>
  <c r="S61" i="3"/>
  <c r="T61" i="3" s="1"/>
  <c r="L61" i="3"/>
  <c r="M61" i="3" s="1"/>
  <c r="Y60" i="3"/>
  <c r="S60" i="3"/>
  <c r="T60" i="3" s="1"/>
  <c r="L60" i="3"/>
  <c r="M60" i="3" s="1"/>
  <c r="Y59" i="3"/>
  <c r="S59" i="3"/>
  <c r="T59" i="3" s="1"/>
  <c r="L59" i="3"/>
  <c r="M59" i="3" s="1"/>
  <c r="Y58" i="3"/>
  <c r="S58" i="3"/>
  <c r="T58" i="3" s="1"/>
  <c r="L58" i="3"/>
  <c r="M58" i="3" s="1"/>
  <c r="Y57" i="3"/>
  <c r="S57" i="3"/>
  <c r="T57" i="3" s="1"/>
  <c r="L57" i="3"/>
  <c r="M57" i="3" s="1"/>
  <c r="Y56" i="3"/>
  <c r="S56" i="3"/>
  <c r="T56" i="3" s="1"/>
  <c r="L56" i="3"/>
  <c r="M56" i="3" s="1"/>
  <c r="Y55" i="3"/>
  <c r="S55" i="3"/>
  <c r="T55" i="3" s="1"/>
  <c r="L55" i="3"/>
  <c r="M55" i="3" s="1"/>
  <c r="Y54" i="3"/>
  <c r="S54" i="3"/>
  <c r="T54" i="3" s="1"/>
  <c r="L54" i="3"/>
  <c r="M54" i="3" s="1"/>
  <c r="Y53" i="3"/>
  <c r="S53" i="3"/>
  <c r="T53" i="3" s="1"/>
  <c r="L53" i="3"/>
  <c r="M53" i="3" s="1"/>
  <c r="Y52" i="3"/>
  <c r="S52" i="3"/>
  <c r="T52" i="3" s="1"/>
  <c r="L52" i="3"/>
  <c r="M52" i="3" s="1"/>
  <c r="Y51" i="3"/>
  <c r="S51" i="3"/>
  <c r="T51" i="3" s="1"/>
  <c r="L51" i="3"/>
  <c r="M51" i="3" s="1"/>
  <c r="Y50" i="3"/>
  <c r="S50" i="3"/>
  <c r="T50" i="3" s="1"/>
  <c r="L50" i="3"/>
  <c r="M50" i="3" s="1"/>
  <c r="Y49" i="3"/>
  <c r="S49" i="3"/>
  <c r="T49" i="3" s="1"/>
  <c r="L49" i="3"/>
  <c r="M49" i="3" s="1"/>
  <c r="Y48" i="3"/>
  <c r="S48" i="3"/>
  <c r="T48" i="3" s="1"/>
  <c r="L48" i="3"/>
  <c r="M48" i="3" s="1"/>
  <c r="Y47" i="3"/>
  <c r="S47" i="3"/>
  <c r="T47" i="3" s="1"/>
  <c r="L47" i="3"/>
  <c r="M47" i="3" s="1"/>
  <c r="Y46" i="3"/>
  <c r="S46" i="3"/>
  <c r="T46" i="3" s="1"/>
  <c r="L46" i="3"/>
  <c r="M46" i="3" s="1"/>
  <c r="Y45" i="3"/>
  <c r="S45" i="3"/>
  <c r="T45" i="3" s="1"/>
  <c r="L45" i="3"/>
  <c r="M45" i="3" s="1"/>
  <c r="Y44" i="3"/>
  <c r="S44" i="3"/>
  <c r="T44" i="3" s="1"/>
  <c r="L44" i="3"/>
  <c r="M44" i="3" s="1"/>
  <c r="Y43" i="3"/>
  <c r="S43" i="3"/>
  <c r="T43" i="3" s="1"/>
  <c r="L43" i="3"/>
  <c r="M43" i="3" s="1"/>
  <c r="Y42" i="3"/>
  <c r="S42" i="3"/>
  <c r="T42" i="3" s="1"/>
  <c r="L42" i="3"/>
  <c r="M42" i="3" s="1"/>
  <c r="Y41" i="3"/>
  <c r="S41" i="3"/>
  <c r="T41" i="3" s="1"/>
  <c r="L41" i="3"/>
  <c r="M41" i="3" s="1"/>
  <c r="Y40" i="3"/>
  <c r="S40" i="3"/>
  <c r="T40" i="3" s="1"/>
  <c r="L40" i="3"/>
  <c r="M40" i="3" s="1"/>
  <c r="Y39" i="3"/>
  <c r="S39" i="3"/>
  <c r="T39" i="3" s="1"/>
  <c r="L39" i="3"/>
  <c r="M39" i="3" s="1"/>
  <c r="Y38" i="3"/>
  <c r="S38" i="3"/>
  <c r="T38" i="3" s="1"/>
  <c r="L38" i="3"/>
  <c r="M38" i="3" s="1"/>
  <c r="Y37" i="3"/>
  <c r="S37" i="3"/>
  <c r="T37" i="3" s="1"/>
  <c r="L37" i="3"/>
  <c r="M37" i="3" s="1"/>
  <c r="Y36" i="3"/>
  <c r="S36" i="3"/>
  <c r="T36" i="3" s="1"/>
  <c r="L36" i="3"/>
  <c r="M36" i="3" s="1"/>
  <c r="Y35" i="3"/>
  <c r="S35" i="3"/>
  <c r="T35" i="3" s="1"/>
  <c r="L35" i="3"/>
  <c r="M35" i="3" s="1"/>
  <c r="Y34" i="3"/>
  <c r="S34" i="3"/>
  <c r="T34" i="3" s="1"/>
  <c r="L34" i="3"/>
  <c r="M34" i="3" s="1"/>
  <c r="Y33" i="3"/>
  <c r="S33" i="3"/>
  <c r="T33" i="3" s="1"/>
  <c r="L33" i="3"/>
  <c r="M33" i="3" s="1"/>
  <c r="Y32" i="3"/>
  <c r="S32" i="3"/>
  <c r="T32" i="3" s="1"/>
  <c r="L32" i="3"/>
  <c r="M32" i="3" s="1"/>
  <c r="Y31" i="3"/>
  <c r="S31" i="3"/>
  <c r="T31" i="3" s="1"/>
  <c r="L31" i="3"/>
  <c r="M31" i="3" s="1"/>
  <c r="Y30" i="3"/>
  <c r="S30" i="3"/>
  <c r="T30" i="3" s="1"/>
  <c r="L30" i="3"/>
  <c r="M30" i="3" s="1"/>
  <c r="Y29" i="3"/>
  <c r="S29" i="3"/>
  <c r="T29" i="3" s="1"/>
  <c r="L29" i="3"/>
  <c r="M29" i="3" s="1"/>
  <c r="Y28" i="3"/>
  <c r="S28" i="3"/>
  <c r="T28" i="3" s="1"/>
  <c r="L28" i="3"/>
  <c r="M28" i="3" s="1"/>
  <c r="Y27" i="3"/>
  <c r="S27" i="3"/>
  <c r="T27" i="3" s="1"/>
  <c r="L27" i="3"/>
  <c r="M27" i="3" s="1"/>
  <c r="Y26" i="3"/>
  <c r="S26" i="3"/>
  <c r="T26" i="3" s="1"/>
  <c r="L26" i="3"/>
  <c r="M26" i="3" s="1"/>
  <c r="Y25" i="3"/>
  <c r="S25" i="3"/>
  <c r="T25" i="3" s="1"/>
  <c r="L25" i="3"/>
  <c r="M25" i="3" s="1"/>
  <c r="Y24" i="3"/>
  <c r="S24" i="3"/>
  <c r="T24" i="3" s="1"/>
  <c r="L24" i="3"/>
  <c r="M24" i="3" s="1"/>
  <c r="Y23" i="3"/>
  <c r="S23" i="3"/>
  <c r="T23" i="3" s="1"/>
  <c r="L23" i="3"/>
  <c r="M23" i="3" s="1"/>
  <c r="Y22" i="3"/>
  <c r="S22" i="3"/>
  <c r="T22" i="3" s="1"/>
  <c r="L22" i="3"/>
  <c r="M22" i="3" s="1"/>
  <c r="Y21" i="3"/>
  <c r="S21" i="3"/>
  <c r="T21" i="3" s="1"/>
  <c r="L21" i="3"/>
  <c r="M21" i="3" s="1"/>
  <c r="Y20" i="3"/>
  <c r="S20" i="3"/>
  <c r="T20" i="3" s="1"/>
  <c r="L20" i="3"/>
  <c r="M20" i="3" s="1"/>
  <c r="Y19" i="3"/>
  <c r="S19" i="3"/>
  <c r="T19" i="3" s="1"/>
  <c r="L19" i="3"/>
  <c r="M19" i="3" s="1"/>
  <c r="Y18" i="3"/>
  <c r="S18" i="3"/>
  <c r="T18" i="3" s="1"/>
  <c r="L18" i="3"/>
  <c r="M18" i="3" s="1"/>
  <c r="Y17" i="3"/>
  <c r="S17" i="3"/>
  <c r="T17" i="3" s="1"/>
  <c r="L17" i="3"/>
  <c r="M17" i="3" s="1"/>
  <c r="Y16" i="3"/>
  <c r="S16" i="3"/>
  <c r="T16" i="3" s="1"/>
  <c r="L16" i="3"/>
  <c r="M16" i="3" s="1"/>
  <c r="Y15" i="3"/>
  <c r="S15" i="3"/>
  <c r="T15" i="3" s="1"/>
  <c r="L15" i="3"/>
  <c r="M15" i="3" s="1"/>
  <c r="Y14" i="3"/>
  <c r="S14" i="3"/>
  <c r="T14" i="3" s="1"/>
  <c r="L14" i="3"/>
  <c r="M14" i="3" s="1"/>
  <c r="Y13" i="3"/>
  <c r="S13" i="3"/>
  <c r="T13" i="3" s="1"/>
  <c r="L13" i="3"/>
  <c r="M13" i="3" s="1"/>
  <c r="Y12" i="3"/>
  <c r="S12" i="3"/>
  <c r="T12" i="3" s="1"/>
  <c r="L12" i="3"/>
  <c r="M12" i="3" s="1"/>
  <c r="Y11" i="3"/>
  <c r="S11" i="3"/>
  <c r="T11" i="3" s="1"/>
  <c r="L11" i="3"/>
  <c r="M11" i="3" s="1"/>
  <c r="Y10" i="3"/>
  <c r="S10" i="3"/>
  <c r="T10" i="3" s="1"/>
  <c r="L10" i="3"/>
  <c r="M10" i="3" s="1"/>
  <c r="Y9" i="3"/>
  <c r="S9" i="3"/>
  <c r="T9" i="3" s="1"/>
  <c r="L9" i="3"/>
  <c r="M9" i="3" s="1"/>
  <c r="Y8" i="3"/>
  <c r="S8" i="3"/>
  <c r="T8" i="3" s="1"/>
  <c r="L8" i="3"/>
  <c r="M8" i="3" s="1"/>
  <c r="Y7" i="3"/>
  <c r="S7" i="3"/>
  <c r="T7" i="3" s="1"/>
  <c r="L7" i="3"/>
  <c r="M7" i="3" s="1"/>
  <c r="Y6" i="3"/>
  <c r="S6" i="3"/>
  <c r="T6" i="3" s="1"/>
  <c r="L6" i="3"/>
  <c r="M6" i="3" s="1"/>
  <c r="Y5" i="3"/>
  <c r="S5" i="3"/>
  <c r="T5" i="3" s="1"/>
  <c r="L5" i="3"/>
  <c r="M5" i="3" s="1"/>
  <c r="Y4" i="3"/>
  <c r="S4" i="3"/>
  <c r="T4" i="3" s="1"/>
  <c r="L4" i="3"/>
  <c r="M4" i="3" s="1"/>
  <c r="Y3" i="3"/>
  <c r="S3" i="3"/>
  <c r="T3" i="3" s="1"/>
  <c r="L3" i="3"/>
  <c r="M3" i="3" s="1"/>
  <c r="Y2" i="3"/>
  <c r="S2" i="3"/>
  <c r="L2" i="3"/>
  <c r="B10" i="4" l="1"/>
  <c r="B9" i="4"/>
  <c r="B8" i="4"/>
  <c r="B7" i="4"/>
  <c r="B6" i="4"/>
  <c r="B5" i="4"/>
  <c r="M2" i="3"/>
  <c r="B59" i="5"/>
  <c r="B58" i="5"/>
  <c r="B57" i="5"/>
  <c r="B56" i="5"/>
  <c r="B55" i="5"/>
  <c r="B51" i="5"/>
  <c r="B50" i="5"/>
  <c r="B49" i="5"/>
  <c r="B48" i="5"/>
  <c r="B47" i="5"/>
  <c r="B46" i="5"/>
  <c r="B45" i="5"/>
  <c r="B44" i="5"/>
  <c r="B43" i="5"/>
  <c r="B42" i="5"/>
  <c r="B41" i="5"/>
  <c r="B40" i="5"/>
  <c r="B36" i="5"/>
  <c r="B35" i="5"/>
  <c r="B34" i="5"/>
  <c r="B33" i="5"/>
  <c r="B29" i="5"/>
  <c r="B28" i="5"/>
  <c r="B24" i="5"/>
  <c r="B23" i="5"/>
  <c r="B22" i="5"/>
  <c r="B21" i="5"/>
  <c r="B17" i="5"/>
  <c r="B16" i="5"/>
  <c r="B15" i="5"/>
  <c r="B14" i="5"/>
  <c r="B10" i="5"/>
  <c r="B9" i="5"/>
  <c r="B8" i="5"/>
  <c r="B7" i="5"/>
  <c r="B6" i="5"/>
  <c r="B2" i="5"/>
  <c r="B12" i="4"/>
  <c r="B11" i="4"/>
  <c r="T2" i="3"/>
  <c r="B27" i="4" l="1"/>
  <c r="B26" i="4"/>
  <c r="B25" i="4"/>
  <c r="C51" i="5"/>
  <c r="C50" i="5"/>
  <c r="C49" i="5"/>
  <c r="C48" i="5"/>
  <c r="C47" i="5"/>
  <c r="C46" i="5"/>
  <c r="C45" i="5"/>
  <c r="C44" i="5"/>
  <c r="C43" i="5"/>
  <c r="C42" i="5"/>
  <c r="C41" i="5"/>
  <c r="C40" i="5"/>
  <c r="C36" i="5"/>
  <c r="C35" i="5"/>
  <c r="C34" i="5"/>
  <c r="C33" i="5"/>
  <c r="C29" i="5"/>
  <c r="C28" i="5"/>
  <c r="C24" i="5"/>
  <c r="C23" i="5"/>
  <c r="C22" i="5"/>
  <c r="C21" i="5"/>
  <c r="C17" i="5"/>
  <c r="C16" i="5"/>
  <c r="C15" i="5"/>
  <c r="C14" i="5"/>
  <c r="C10" i="5"/>
  <c r="C9" i="5"/>
  <c r="C8" i="5"/>
  <c r="C7" i="5"/>
  <c r="C6" i="5"/>
  <c r="B20" i="4"/>
  <c r="B19" i="4"/>
  <c r="B18" i="4"/>
  <c r="B17" i="4"/>
  <c r="B16" i="4"/>
  <c r="B28" i="4" l="1"/>
  <c r="B21" i="4"/>
</calcChain>
</file>

<file path=xl/sharedStrings.xml><?xml version="1.0" encoding="utf-8"?>
<sst xmlns="http://schemas.openxmlformats.org/spreadsheetml/2006/main" count="4933" uniqueCount="1163">
  <si>
    <t>One Matrix - Four Steps  (LLM-ready, no background assumed)</t>
  </si>
  <si>
    <t>A single progressive-disclosure matrix for screening, coding, deep-read analysis and reporting.</t>
  </si>
  <si>
    <t>CONTEXT PRIMER  (read this before coding any paper)</t>
  </si>
  <si>
    <t>What is this review about</t>
  </si>
  <si>
    <t>This is a systematic literature review about DIGITAL TWINS used in the built-environment industry, specifically to improve SAFETY and QUALITY of designs. You are screening and coding academic papers.</t>
  </si>
  <si>
    <t>AECO</t>
  </si>
  <si>
    <t>AECO = Architecture, Engineering, Construction and Operations. It means the built-environment / construction industry (buildings, bridges, infrastructure, civil engineering). NOT manufacturing, automotive, aerospace, power/electrical equipment, healthcare, or agriculture.</t>
  </si>
  <si>
    <t>Digital Twin (DT)</t>
  </si>
  <si>
    <t>A Digital Twin is a live virtual replica of a physical asset that is connected to it by data. It is MORE than a static 3D/BIM model. If a paper only says the words 'digital twin' in passing but does not actually build or study one, treat DT as a buzzword (answer 'No').</t>
  </si>
  <si>
    <t>Design for Safety (DfS)</t>
  </si>
  <si>
    <t>Design for Safety = designing to prevent construction/operation safety incidents (e.g. fall from height, hazards, accident prevention).</t>
  </si>
  <si>
    <t>Design for Quality (DfQ)</t>
  </si>
  <si>
    <t>Design for Quality = designing to prevent defects, rework, or quality failures.</t>
  </si>
  <si>
    <t>Prevention through Design (PtD)</t>
  </si>
  <si>
    <t>Prevention through Design = the principle of eliminating risks at the design stage before construction begins. Closely related to DfS/DfQ.</t>
  </si>
  <si>
    <t>BIM</t>
  </si>
  <si>
    <t>BIM = Building Information Modelling. A static, design-stage digital model. A BIM model alone is NOT a Digital Twin (no live data link).</t>
  </si>
  <si>
    <t>bidirectional</t>
  </si>
  <si>
    <t>'bidirectional' means data flows BOTH ways: physical-&gt;virtual AND virtual-&gt;physical (the twin can act back on the real asset). One-way data flow is only a 'digital shadow'.</t>
  </si>
  <si>
    <t>Answer format</t>
  </si>
  <si>
    <t>Every Stage-1 and Stage-2 question is answered strictly as 'Yes' or 'No'. If genuinely unsure from the abstract, answer 'No' (conservative) and add a note. Do not invent information not present in the text.</t>
  </si>
  <si>
    <t>One reason only</t>
  </si>
  <si>
    <t>When a paper is excluded, the matrix auto-picks ONE standardized reason by priority. You do not write the reason yourself.</t>
  </si>
  <si>
    <t>THE FOUR STEPS</t>
  </si>
  <si>
    <t>Step 1 (all 450 papers)</t>
  </si>
  <si>
    <t>An LLM or reviewer fills the AMBER Stage-1 columns (G-K) for EVERY paper, from the TITLE and ABSTRACT only. Column L auto-decides Include/Exclude; column M auto-writes the single exclusion reason.</t>
  </si>
  <si>
    <t>Step 2 (the matrix)</t>
  </si>
  <si>
    <t>This workbook IS the summary matrix. There is nothing separate to generate.</t>
  </si>
  <si>
    <t>Retrieval + PDF gateway</t>
  </si>
  <si>
    <t>For Stage-1 includes, first mark column N 'PDF full text on hand?'. This is the gateway: only papers with the PDF on hand can be deep-read. You can revisit later - when a PDF is found, change N from 'No' to 'Yes' and the paper becomes ready for Stage-2/3.</t>
  </si>
  <si>
    <t>Step 3 (deep read)</t>
  </si>
  <si>
    <t>For papers whose PDF is on hand, fill the RED Stage-2 columns (P-R) and then the GREEN synthesis 'angle' columns (U-AG). These are the evidence for your findings section.</t>
  </si>
  <si>
    <t>Step 4 (report)</t>
  </si>
  <si>
    <t>Open 'Step1_Report' (screening + PRISMA chain + exclusion reasons) and 'Step3_Report' (capability-tier / phase / method / modality / validation / self-improvement tables). Both auto-tally from the same rows.</t>
  </si>
  <si>
    <t>COLOUR KEY</t>
  </si>
  <si>
    <t>Bands</t>
  </si>
  <si>
    <t>AMBER = Stage-1 input (from abstract) · BLUE = PDF gateway · RED = Stage-2 input (from full text) · GREEN = Stage-3 deep-read input · BLUE-GREY = auto formula, do not edit.</t>
  </si>
  <si>
    <t>Golden rule</t>
  </si>
  <si>
    <t>Never delete a paper. A paper excluded at any stage stays in the matrix with its reason recorded. This is what makes the PRISMA flow reproducible.</t>
  </si>
  <si>
    <t>YN</t>
  </si>
  <si>
    <t>Src</t>
  </si>
  <si>
    <t>Bin</t>
  </si>
  <si>
    <t>Tier</t>
  </si>
  <si>
    <t>DfX</t>
  </si>
  <si>
    <t>Self</t>
  </si>
  <si>
    <t>Method</t>
  </si>
  <si>
    <t>Modality</t>
  </si>
  <si>
    <t>Valid</t>
  </si>
  <si>
    <t>Cluster</t>
  </si>
  <si>
    <t>Yes</t>
  </si>
  <si>
    <t>Scopus</t>
  </si>
  <si>
    <t>0</t>
  </si>
  <si>
    <t>Tier 1 - Digital Model (static, no live data)</t>
  </si>
  <si>
    <t>None</t>
  </si>
  <si>
    <t>Computer Vision / CNN / object-detection</t>
  </si>
  <si>
    <t>Single (one data type)</t>
  </si>
  <si>
    <t>Conceptual (no test)</t>
  </si>
  <si>
    <t>BIM-to-Digital-Twin architecture</t>
  </si>
  <si>
    <t>No</t>
  </si>
  <si>
    <t>Web of Science</t>
  </si>
  <si>
    <t>1</t>
  </si>
  <si>
    <t>Tier 2 - Digital Shadow (one-way physical to virtual)</t>
  </si>
  <si>
    <t>Mentioned only</t>
  </si>
  <si>
    <t>Graph Neural Network (GNN)</t>
  </si>
  <si>
    <t>Multi (two or more data types)</t>
  </si>
  <si>
    <t>Simulation</t>
  </si>
  <si>
    <t>Semantic interoperability</t>
  </si>
  <si>
    <t>Lens.org</t>
  </si>
  <si>
    <t>Tier 3 - Digital Twin (bidirectional, two-way)</t>
  </si>
  <si>
    <t>Both</t>
  </si>
  <si>
    <t>Implemented</t>
  </si>
  <si>
    <t>LSTM / RNN (recurrent networks)</t>
  </si>
  <si>
    <t>Single case study</t>
  </si>
  <si>
    <t>Perception / Computer Vision</t>
  </si>
  <si>
    <t>Backward-snowball</t>
  </si>
  <si>
    <t>Tier 4 - Cognitive / Self-improving</t>
  </si>
  <si>
    <t>Other</t>
  </si>
  <si>
    <t>Convergence-characterised</t>
  </si>
  <si>
    <t>Transformer / Large Language Model (LLM)</t>
  </si>
  <si>
    <t>Cross-project (multiple real projects)</t>
  </si>
  <si>
    <t>Design for Safety</t>
  </si>
  <si>
    <t>Forward-snowball</t>
  </si>
  <si>
    <t>Unclear</t>
  </si>
  <si>
    <t>Reinforcement Learning (RL)</t>
  </si>
  <si>
    <t>Predictive analytics / decision support</t>
  </si>
  <si>
    <t>Bayesian / probabilistic</t>
  </si>
  <si>
    <t>Lifecycle / governance</t>
  </si>
  <si>
    <t>Agent-based model (ABM)</t>
  </si>
  <si>
    <t>Finite Element Method / physics-based</t>
  </si>
  <si>
    <t>Ontology / semantic</t>
  </si>
  <si>
    <t>Statistical / change-point</t>
  </si>
  <si>
    <t>Digital Twin platform (no machine learning)</t>
  </si>
  <si>
    <t>Other / Mixed</t>
  </si>
  <si>
    <t>ID</t>
  </si>
  <si>
    <t>Authors (year)</t>
  </si>
  <si>
    <t>Year</t>
  </si>
  <si>
    <t>Journal</t>
  </si>
  <si>
    <t>Title</t>
  </si>
  <si>
    <t>Source database</t>
  </si>
  <si>
    <t>Stage1: Domain is AECO (built environment)?</t>
  </si>
  <si>
    <t>Stage1: Digital Twin is core (not just a buzzword)?</t>
  </si>
  <si>
    <t>Stage1: About Design for Safety / Quality / Prevention through Design?</t>
  </si>
  <si>
    <t>Stage1: Publication type OK (journal/conference article, not editorial/erratum)?</t>
  </si>
  <si>
    <t>Stage1: Written in English (full text)?</t>
  </si>
  <si>
    <t>STAGE-1 decision</t>
  </si>
  <si>
    <t>Stage-1 exclusion reason (auto)</t>
  </si>
  <si>
    <t>GATEWAY: PDF full text on hand? (change to Yes when found)</t>
  </si>
  <si>
    <t>Full text retrieved for PRISMA?</t>
  </si>
  <si>
    <t>Stage2: Digital Twin is the actual subject (full text)?</t>
  </si>
  <si>
    <t>Stage2: Design for Safety/Quality confirmed in full text?</t>
  </si>
  <si>
    <t>Stage2: Methodology is clear enough to code?</t>
  </si>
  <si>
    <t>STAGE-2 decision</t>
  </si>
  <si>
    <t>Stage-2 exclusion reason (auto)</t>
  </si>
  <si>
    <t>Deep-read: Digital Twin capability tier</t>
  </si>
  <si>
    <t>Phase: Design (1/0)</t>
  </si>
  <si>
    <t>Phase: Construction (1/0)</t>
  </si>
  <si>
    <t>Phase: Operation (1/0)</t>
  </si>
  <si>
    <t>Cross-phase? (auto)</t>
  </si>
  <si>
    <t>Deep-read: Design-for-X target</t>
  </si>
  <si>
    <t>Deep-read: Self-improvement / convergence</t>
  </si>
  <si>
    <t>Deep-read: Data modality</t>
  </si>
  <si>
    <t>Deep-read: Validation level</t>
  </si>
  <si>
    <t>Deep-read: Quality appraisal score (0 to 5)</t>
  </si>
  <si>
    <t>Deep-read: Thematic cluster</t>
  </si>
  <si>
    <t>Deep-read: Key evidence / notes</t>
  </si>
  <si>
    <t>STEP 1 &amp; PRISMA - screening outcomes (auto)</t>
  </si>
  <si>
    <t>PRISMA stage</t>
  </si>
  <si>
    <t>n</t>
  </si>
  <si>
    <t>Records identified (in matrix)</t>
  </si>
  <si>
    <t>Records screened (Stage-1 decided)</t>
  </si>
  <si>
    <t xml:space="preserve">  Excluded at Stage-1 (title/abstract)</t>
  </si>
  <si>
    <t>Stage-1 INCLUDE -&gt; sought for retrieval</t>
  </si>
  <si>
    <t xml:space="preserve">  PDF full text on hand (gateway = Yes)</t>
  </si>
  <si>
    <t xml:space="preserve">  PDF not yet on hand (revisit later)</t>
  </si>
  <si>
    <t>Reports assessed for eligibility (full text)</t>
  </si>
  <si>
    <t xml:space="preserve">  Excluded at Stage-2 (full text, with reasons)</t>
  </si>
  <si>
    <t>STUDIES INCLUDED IN SYNTHESIS</t>
  </si>
  <si>
    <t>Stage-1 exclusion reasons</t>
  </si>
  <si>
    <t>Reason</t>
  </si>
  <si>
    <t>Wrong domain (non-AECO)</t>
  </si>
  <si>
    <t>Digital Twin not core / buzzword</t>
  </si>
  <si>
    <t>No Design for Safety/Quality/PtD</t>
  </si>
  <si>
    <t>Wrong publication type</t>
  </si>
  <si>
    <t>Non-English</t>
  </si>
  <si>
    <t>Total Stage-1 exclusions</t>
  </si>
  <si>
    <t>Stage-2 (full-text) exclusion reasons</t>
  </si>
  <si>
    <t>Digital Twin mentioned only, not the subject</t>
  </si>
  <si>
    <t>No Design for Safety/Quality in full text</t>
  </si>
  <si>
    <t>Methodology not codable</t>
  </si>
  <si>
    <t>Total Stage-2 exclusions</t>
  </si>
  <si>
    <t>STEP 3 - deep-read synthesis tables (auto = findings section)</t>
  </si>
  <si>
    <t>Total included studies</t>
  </si>
  <si>
    <t>Digital Twin capability tier (Gap 1)</t>
  </si>
  <si>
    <t>Category</t>
  </si>
  <si>
    <t>% of incl.</t>
  </si>
  <si>
    <t>Self-improvement / convergence (core gap)</t>
  </si>
  <si>
    <t>Design-for-X target</t>
  </si>
  <si>
    <t>Data modality (Gap 2)</t>
  </si>
  <si>
    <t>Validation level (Gap 5)</t>
  </si>
  <si>
    <t>Methodology (RQ2)</t>
  </si>
  <si>
    <t>Lifecycle phase coverage (Gap 3)</t>
  </si>
  <si>
    <t>Coverage</t>
  </si>
  <si>
    <t>Design (any)</t>
  </si>
  <si>
    <t>Construction (any)</t>
  </si>
  <si>
    <t>Operation (any)</t>
  </si>
  <si>
    <t>Single-phase</t>
  </si>
  <si>
    <t>Multi-phase (cross-phase)</t>
  </si>
  <si>
    <t>Ahmad (2026)</t>
  </si>
  <si>
    <t>Akanmu (2021)</t>
  </si>
  <si>
    <t>Almatared (2024)</t>
  </si>
  <si>
    <t>Alvaro (2025)</t>
  </si>
  <si>
    <t>Ammar (2024)</t>
  </si>
  <si>
    <t>Aragon (2025)</t>
  </si>
  <si>
    <t>Araujo (2025)</t>
  </si>
  <si>
    <t>Arhrib (2026)</t>
  </si>
  <si>
    <t>Armijo (2024)</t>
  </si>
  <si>
    <t>Aroquipa (2025)</t>
  </si>
  <si>
    <t>Arowoiya (2024)</t>
  </si>
  <si>
    <t>Bao (2026)</t>
  </si>
  <si>
    <t>Brucherseifer (2021)</t>
  </si>
  <si>
    <t>Cervenka (2026)</t>
  </si>
  <si>
    <t>Chacon (2024)</t>
  </si>
  <si>
    <t>Chan (2025)</t>
  </si>
  <si>
    <t>Chang (2024)</t>
  </si>
  <si>
    <t>Chang (2026)</t>
  </si>
  <si>
    <t>Chen (2025)</t>
  </si>
  <si>
    <t>Chen (2026)</t>
  </si>
  <si>
    <t>Dan (2022)</t>
  </si>
  <si>
    <t>Delhibabu (2026)</t>
  </si>
  <si>
    <t>Deng (2025)</t>
  </si>
  <si>
    <t>Deng (2026)</t>
  </si>
  <si>
    <t>Doukari (2026)</t>
  </si>
  <si>
    <t>ElDin (2022)</t>
  </si>
  <si>
    <t>Ellul (2024)</t>
  </si>
  <si>
    <t>Fang (2023)</t>
  </si>
  <si>
    <t>Franciosi (2024)</t>
  </si>
  <si>
    <t>Gao (2025)</t>
  </si>
  <si>
    <t>Gao (2024)</t>
  </si>
  <si>
    <t>Geng (2025)</t>
  </si>
  <si>
    <t>Gonzalez-Boehme (2023)</t>
  </si>
  <si>
    <t>Granzner (2023)</t>
  </si>
  <si>
    <t>Gu (2023)</t>
  </si>
  <si>
    <t>Guo (2026)</t>
  </si>
  <si>
    <t>Guo (2025)</t>
  </si>
  <si>
    <t>Ham (2020)</t>
  </si>
  <si>
    <t>Han (2026)</t>
  </si>
  <si>
    <t>Han (2025)</t>
  </si>
  <si>
    <t>Hasan (2022)</t>
  </si>
  <si>
    <t>Hekmatnejad (2025)</t>
  </si>
  <si>
    <t>Hong (2022)</t>
  </si>
  <si>
    <t>Hong (2025)</t>
  </si>
  <si>
    <t>Hou (2026)</t>
  </si>
  <si>
    <t>Hu (2026)</t>
  </si>
  <si>
    <t>Hu (2024)</t>
  </si>
  <si>
    <t>Huang (2026)</t>
  </si>
  <si>
    <t>Jiang (2022)</t>
  </si>
  <si>
    <t>Jiang (2023)</t>
  </si>
  <si>
    <t>Jiang (2024)</t>
  </si>
  <si>
    <t>Johansen (2025)</t>
  </si>
  <si>
    <t>Kamari (2022)</t>
  </si>
  <si>
    <t>Kang (2025)</t>
  </si>
  <si>
    <t>Kaveh (2025)</t>
  </si>
  <si>
    <t>Khajavi (2023)</t>
  </si>
  <si>
    <t>Kim (2023)</t>
  </si>
  <si>
    <t>Kim (2024)</t>
  </si>
  <si>
    <t>Lai (2022)</t>
  </si>
  <si>
    <t>Levine (2022)</t>
  </si>
  <si>
    <t>Li (2024)</t>
  </si>
  <si>
    <t>Li (2023)</t>
  </si>
  <si>
    <t>Li (2021)</t>
  </si>
  <si>
    <t>Lin (2026)</t>
  </si>
  <si>
    <t>Lin (2025)</t>
  </si>
  <si>
    <t>Lin (2020)</t>
  </si>
  <si>
    <t>Liu (2022)</t>
  </si>
  <si>
    <t>Liu (2021)</t>
  </si>
  <si>
    <t>Liu (2020)</t>
  </si>
  <si>
    <t>Liu (2025)</t>
  </si>
  <si>
    <t>Luleci (2024)</t>
  </si>
  <si>
    <t>Lv (2026)</t>
  </si>
  <si>
    <t>Machado (2024)</t>
  </si>
  <si>
    <t>Machado (2025)</t>
  </si>
  <si>
    <t>Meschini (2022)</t>
  </si>
  <si>
    <t>Moe (2026)</t>
  </si>
  <si>
    <t>Moe (2025)</t>
  </si>
  <si>
    <t>Okuntade (2026)</t>
  </si>
  <si>
    <t>Palihakkara (2025)</t>
  </si>
  <si>
    <t>Pan (2026)</t>
  </si>
  <si>
    <t>Pan (2022)</t>
  </si>
  <si>
    <t>Park (2024)</t>
  </si>
  <si>
    <t>PerezPerez (2026)</t>
  </si>
  <si>
    <t>Pham (2026)</t>
  </si>
  <si>
    <t>Ponzo (2024)</t>
  </si>
  <si>
    <t>Qiu (2025)</t>
  </si>
  <si>
    <t>Rashidian (2026)</t>
  </si>
  <si>
    <t>Rezaie (2025)</t>
  </si>
  <si>
    <t>Rinaldi (2025)</t>
  </si>
  <si>
    <t>Salem (2023)</t>
  </si>
  <si>
    <t>Scolamiero (2026)</t>
  </si>
  <si>
    <t>Seo (2025)</t>
  </si>
  <si>
    <t>Shao (2022)</t>
  </si>
  <si>
    <t>Sharafat (2025)</t>
  </si>
  <si>
    <t>Shariatfar (2026)</t>
  </si>
  <si>
    <t>Shen (2026)</t>
  </si>
  <si>
    <t>Shi (2026)</t>
  </si>
  <si>
    <t>Song (2026)</t>
  </si>
  <si>
    <t>Song (2023)</t>
  </si>
  <si>
    <t>Speiser (2024)</t>
  </si>
  <si>
    <t>Stergiopoulos (2025)</t>
  </si>
  <si>
    <t>Su (2025)</t>
  </si>
  <si>
    <t>Sun (2025)</t>
  </si>
  <si>
    <t>Sun (2023)</t>
  </si>
  <si>
    <t>Sun (2026)</t>
  </si>
  <si>
    <t>Talmaki (2022)</t>
  </si>
  <si>
    <t>Tian (2026)</t>
  </si>
  <si>
    <t>Torrecilla-Garcia (2021)</t>
  </si>
  <si>
    <t>Torres (2024)</t>
  </si>
  <si>
    <t>Torzoni (2024)</t>
  </si>
  <si>
    <t>Tran (2025)</t>
  </si>
  <si>
    <t>Ugliotti (2025)</t>
  </si>
  <si>
    <t>Villaverde (2026)</t>
  </si>
  <si>
    <t>Wang (2024)</t>
  </si>
  <si>
    <t>Wang (2021)</t>
  </si>
  <si>
    <t>Wen (2025)</t>
  </si>
  <si>
    <t>Wu (2022)</t>
  </si>
  <si>
    <t>Wu (2026)</t>
  </si>
  <si>
    <t>Wu (2024)</t>
  </si>
  <si>
    <t>Wu (2021)</t>
  </si>
  <si>
    <t>Xie (2025)</t>
  </si>
  <si>
    <t>Xiong (2026)</t>
  </si>
  <si>
    <t>Xu (2023)</t>
  </si>
  <si>
    <t>Yan (2025)</t>
  </si>
  <si>
    <t>Yan (2026)</t>
  </si>
  <si>
    <t>Yang (2026)</t>
  </si>
  <si>
    <t>Yang (2025)</t>
  </si>
  <si>
    <t>Ye (2023)</t>
  </si>
  <si>
    <t>Yin (2026)</t>
  </si>
  <si>
    <t>You (2023)</t>
  </si>
  <si>
    <t>Yu (2024)</t>
  </si>
  <si>
    <t>Zeng (2025)</t>
  </si>
  <si>
    <t>Zhang (2024)</t>
  </si>
  <si>
    <t>Zhang (2025)</t>
  </si>
  <si>
    <t>Zhang (2022)</t>
  </si>
  <si>
    <t>Zhang (2026)</t>
  </si>
  <si>
    <t>Zhao (2026)</t>
  </si>
  <si>
    <t>Zhao (2024)</t>
  </si>
  <si>
    <t>Zhao (2022)</t>
  </si>
  <si>
    <t>Zhao (2025)</t>
  </si>
  <si>
    <t>Zheng (2022)</t>
  </si>
  <si>
    <t>Zhou (2021)</t>
  </si>
  <si>
    <t>Zhu (2022)</t>
  </si>
  <si>
    <t>Zhu (2023)</t>
  </si>
  <si>
    <t>Zou (2024)</t>
  </si>
  <si>
    <t>Liu (2023)</t>
  </si>
  <si>
    <t>Martinez (2026)</t>
  </si>
  <si>
    <t>Scopus</t>
    <phoneticPr fontId="11" type="noConversion"/>
  </si>
  <si>
    <t>Web of Science</t>
    <phoneticPr fontId="11" type="noConversion"/>
  </si>
  <si>
    <t>Yes</t>
    <phoneticPr fontId="11" type="noConversion"/>
  </si>
  <si>
    <t>No</t>
    <phoneticPr fontId="11" type="noConversion"/>
  </si>
  <si>
    <t>Tech-adoption survey (ARM); no DT, no DfS/DfQ focus</t>
  </si>
  <si>
    <t>Energy/comfort/carbon optimization; safety shield is control constraint (edge 5)</t>
  </si>
  <si>
    <t>Cybersecurity of industrial CPS/SCADA; not AECO</t>
  </si>
  <si>
    <t>Smart energy systems CI; not built environment</t>
  </si>
  <si>
    <t>Crowd management/surveillance; no built asset DfS/DfQ</t>
  </si>
  <si>
    <t>Deployed LiDAR+radar+camera fusion validated with RTK-GNSS at real work zone (lane-level accuracy); Predictive DT framework (Digital Shadow + Digital Sibling, TTC/PET conflict metrics, C-V2X warnings) proposed but not implemented — hence Tier 2, AA None.</t>
  </si>
  <si>
    <t>Perspective paper defining next-gen CPS/DT with explicit two-way mapping and passive/active control; scenarios (teleoperated drywall robot, postural tracking, near-miss prevention) illustrate bidirectional control but nothing implemented; ML training of movement data only suggested.</t>
  </si>
  <si>
    <t>SHM hybrid AI; no DT built/proposed</t>
  </si>
  <si>
    <t>FEM+NN metamodel; authors state not a full digital twin</t>
  </si>
  <si>
    <t>BIM-ICDD semantic linking; no DT; compliance not DfQ</t>
  </si>
  <si>
    <t>Nuclear power domain</t>
  </si>
  <si>
    <t>BIM-HDM framework; DT only future early warning</t>
  </si>
  <si>
    <t>Four-layer DT-based fire-safety framework (physical/virtual/application/user-interaction) with explicit feedback "integrated back with the physical building layer for automatic control"; validated only via FM-professional questionnaire, no technical test; AI learning cited from literature, not implemented.</t>
  </si>
  <si>
    <t>GUIDE2FR emergency-monitoring DT of a firefighter training tower (Alcorcón): Wi-Fi/LoRa beacon network (temp, humidity, CO2, TVOC) + RTSP video synchronised in a Grafana plugin; offline-trained ML forecasting pipeline (SVR/RF/Huber/GPR, forward-chaining CV, tested on 4 beacons at Fire Station 9) visualised in the DT; one-way data flow to human decision-makers, no actuation and no online learning loop.</t>
  </si>
  <si>
    <t>Survey + case study on guiderail data management for a transportation agency: investigates current practices and proposes a data architecture for information-rich analytical models using DTs, but no DT is actually built or evaluated - P=No -&gt; Stage-2 exclude. [Full-text source: Endnote]</t>
  </si>
  <si>
    <t>Legal/regulatory IoT paper; not AECO</t>
  </si>
  <si>
    <t>AI-in-motorways review; DT one of many topics</t>
  </si>
  <si>
    <t>Cybersecurity; airport baggage system industrial testbed</t>
  </si>
  <si>
    <t>Definition/standardisation position paper (CEN/TC 442/WG 9, ISO); two illustrative DT cases (Bidebieta-Basauri railway station, UPM civil engineering school) are management/visualisation platforms with real-time info integration but no analytics loop or learning; safety only a secondary use case.</t>
  </si>
  <si>
    <t>DSR conceptual model (F1 data acquisition / F2 data analysis-simulation / F3 BIM transformation boxes) for DT on construction sites, generalised from the empirical Smart Twins 4.0 system (RFID+IoT+BIM tracking of metallic formwork in concrete wall construction; 151 panels inspected, 100% external defects, wear 42% — rework/quality control). Closed-loop is human-in-the-loop only; F2 simulation box proposed but NOT implemented (future Smart Twins 5.0); no ML and no self-improvement.</t>
  </si>
  <si>
    <t>Serverless SfM/MVS pipeline + PostGIS defect anchors on real inspection datasets; defects as georeferenced 3D anchors support DfQ traceability; authors explicitly position against passive Level-1 twins, but no live link/learning: periodic re-scan workflow.</t>
  </si>
  <si>
    <t>2-year in-service railway bridge pilot; unsupervised clustering of normal vibration + FEM-calibrated synthetic damage + LightGBM classifier (ROC-AUC 0.9999); periodic retraining of the model on accumulated data = implemented learning loop, but no convergence criterion/metric.</t>
  </si>
  <si>
    <t>Methodological framework for integrating SHM with numerical DT models for seismic assessment of heritage buildings (Basilica Maria Auxiliadora, Lima): numerical models in 3DEC and SAP2000 (modal + time-history of 34 seismic ground-motion records) identify susceptible zones and recommended sensor locations; sensor deployment and validation against experimental models are explicitly future work - no DT implemented, no live data link, no learning loop. [Full-text source: Endnote]</t>
  </si>
  <si>
    <t>Questionnaire survey (Nigerian construction professionals, purposive+snowball) of drivers for adopting DTT; Shapiro-Wilk + Kruskal-Wallis H + factor analysis grouping drivers into innovation/operation/quality/performance/policy. No digital twin is built, evaluated or framed as a system — DT only appears as the technology whose adoption is surveyed. P=No → Stage-2 exclude.</t>
  </si>
  <si>
    <t>CV pose estimation; DT only synthesizes training data</t>
  </si>
  <si>
    <t>BIM+RPA weather alerts; static BIM, no live DT</t>
  </si>
  <si>
    <t>CE/digitalisation review; DT peripheral</t>
  </si>
  <si>
    <t>State-of-the-art review of intelligent tunnel construction &amp; O&amp;M technologies (IoT, big data, AI, platforms) across design/construction/O&amp;M; digital twins appear as one component (geological DTs, future DT co-simulation) but are not the actual subject of the paper. P=No → Stage-2 exclude. Safety/risk is a genuine theme (construction safety, real-time risk analysis).</t>
  </si>
  <si>
    <t>Russian journal; BIM/DT mentioned, full text non-English</t>
  </si>
  <si>
    <t>Urban regeneration protocol; DT as future archive</t>
  </si>
  <si>
    <t>Industrial port ops; Chinese journal, non-English</t>
  </si>
  <si>
    <t>Pure FEM structural analysis; no DT</t>
  </si>
  <si>
    <t>BIM-manager narrative review; no DT core</t>
  </si>
  <si>
    <t>I-BIM maintenance framework; DT aspirational</t>
  </si>
  <si>
    <t>Digital Twin Conceptual Framework for critical infrastructure resilience (DLR): comprehensive requirements analysis for infrastructure crisis management/resilience, deriving a conceptual framework (virtual replica, virtual clones, smart-tool toolbox, human-operated control center) with guiding principles for construction/planning phases and a conceptual DT model; resilience cycle with learning from past events is discussed conceptually but not implemented; no DT built or validated, no learning loop. [Full-text source: Endnote]</t>
  </si>
  <si>
    <t>Data-management review; no DT core, no safety/quality</t>
  </si>
  <si>
    <t>Emotion recognition; no built asset, no safety/quality</t>
  </si>
  <si>
    <t>Neural-SDF reconstruction; DT only downstream use</t>
  </si>
  <si>
    <t>Static GIS-BIM/CMMS-3D; no live DT</t>
  </si>
  <si>
    <t>BIM-Dynamo automation; initial step towards DT only</t>
  </si>
  <si>
    <t>Bibliometric; DT only a keyword trend</t>
  </si>
  <si>
    <t>ANN surrogate within DT for bridge SHM, safety info, life-cycle</t>
  </si>
  <si>
    <t>Tech-adoption survey; DT one of many</t>
  </si>
  <si>
    <t>ASHVIN H2020 DT case study (RC office building, Barcelona): six independent information pipelines (IMU/temp/load sensors, TLS point clouds, equipment tracking) → knowledge-graph system → Unity dashboard with project-specific KPIs (construction safety, quality control, productivity); ML activity recognition (Naïve Bayes/DT/kNN/SVM on equipment sensors); data flows one-way physical→virtual for decision support; conclusions state it "has not permitted to act" on the site — no actuation, no learning loop.</t>
  </si>
  <si>
    <t>120-yr heritage RC bridge; ambient vibration + laser displacement monitoring; FE-based DT validated against field data, used for what-if scenarios (overweight vehicles, scour loss); six-phase Incident Response Framework; model is updated/validated, not self-learning.</t>
  </si>
  <si>
    <t>Autonomous dimensional inspection and issue tracking of rebar using semantically enriched 3D models (NTU): DT generation from GoPro images via SfM-MVS point-cloud reconstruction (AprilTag scale calibration); segmentation via Mask R-CNN + 3D clustering (DBSCAN); inspection via 2D circular Hough transform (diameter accuracy 95.5%, spacing mean relative error 0.98%); issue identification/tracking via Scan-vs-BIM registration and comparison of semantically enriched 3D models with BIM across time. Single column rebar cage experiment. One-way inspection to BIM/Digital-Twin for DQC; no live data link and no learning loop. [Full-text source: Endnote]</t>
  </si>
  <si>
    <t>DT framework for predicting ground settlement and lining deformation of shield tunnels under adjacent excavation (NTU/Southeast U): hybrid surrogate model DF-STTN (Swin Transformer + TabTransformer) for full-field displacement prediction from spatial + non-spatial inputs; trained on high-fidelity FE data, then updated/validated on laboratory-scale tunnel excavation tests via a genetic-algorithm model-updating procedure that iteratively refines soil parameters using sparse test data (minimizing prediction error); outperforms convolution-based and single-fusion models; spatial info (3 measurement points) improves accuracy. One-way prediction with implemented GA-based model updating - no convergence criterion, no actuation. [Full-text source: Endnote]</t>
  </si>
  <si>
    <t>Chinese journal; full text non-English</t>
  </si>
  <si>
    <t>Tunnel project in China; DT continuously integrates settlement/TBM/structural monitoring; KG rule-based reasoning infers hazards and mitigation; bidirectional DT-KG interaction visualised for decisions; prevention of further structural impact claimed in real emergency.</t>
  </si>
  <si>
    <t>Mobile gin pole (UHV construction): FEM kinetic analysis + TROA-ET surrogate (R2 0.9642) + NSGA-III safety-efficiency optimisation embedded in DT parallel-control architecture; bidirectional 4G/MQTT link (CANopen control commands) on real 110 kV project; safety risk -32.3%; surrogate is offline-trained, no online learning.</t>
  </si>
  <si>
    <t>Oil/gas pipeline industry; Chinese journal, non-English</t>
  </si>
  <si>
    <t>Chinese journal; non-English full text</t>
  </si>
  <si>
    <t>CV activity recognition; DT integration future work</t>
  </si>
  <si>
    <t>Materials/manufacturing component DT; not AECO</t>
  </si>
  <si>
    <t>BIM+AR safety inspection; no DT (duplicate of #56)</t>
  </si>
  <si>
    <t>Duplicate of ID 3660 (WoS copy); BIM-based, no DT</t>
  </si>
  <si>
    <t>Traffic ITS survey; DT only future distribution topic</t>
  </si>
  <si>
    <t>Pure FE soil-structure interaction study; no DT</t>
  </si>
  <si>
    <t>Pure FE seismic SSI analysis; no DT</t>
  </si>
  <si>
    <t>Load-identification method; DT only data consumer</t>
  </si>
  <si>
    <t>Digital twin system for a regional bridges group (Shanghai, Tongji U): physical space - WIM + multi-source machine vision traffic-load monitoring on target bridge + lightweight sensors on bridge group; digital space - mechanical analysis models per bridge linked by measured traffic loads for working-condition perception and safety warning across the regional network; preliminarily implemented in a Shanghai bridges group. One-way monitoring to analysis to warning for operators; no actuation and no learning loop. [Full-text source: Endnote]</t>
  </si>
  <si>
    <t>Damage-index benchmarking; DT only future use</t>
  </si>
  <si>
    <t>Marine science RIs; not AECO</t>
  </si>
  <si>
    <t>Oil-refinery process CPS; industrial</t>
  </si>
  <si>
    <t>Interconnected digital twins of subway stations for decision support (VIT/FRC RAS): per-station DTs interconnected to interact during operational scenarios; cameras, microphones, sensors processed in fog computing; mobile app with intelligent assistant displays detected events and answers queries via voice; event detection for hazardous situations (fire/explosion); implementation improved personnel response time by 17.4% vs REPEAT platform. One-way monitoring to event detection to decision support for operators; no actuation and no learning loop. [Full-text source: Endnote]</t>
  </si>
  <si>
    <t>DTCRAM: five-layer DT construction-risk assessment model (physical twin / data twin / twin model / data analysis / decision feedback) built via 3-round Delphi (9 experts, 15 risks incl. worker safety A1, equipment safety A2, construction quality A3) + case study (Thames Tidal Tunnel); real-time sensor data feeds simulation/risk prediction; claimed ~1% risk-probability reduction per project (A2 5%-&gt;3%, C1 3%-&gt;2%) but figures are estimates; feedback/optimisation loop described conceptually, not a demonstrated learning mechanism.</t>
  </si>
  <si>
    <t>Systematic review (146 articles) of bridge disaster management + proposed Real-time Bridge Disaster Management (RtBDM) framework: dynamic adaptation + digitalisation (BIM/DT integration for full-lifecycle data management and automated decision-making) + disaster cycle (pre-warning, real-time response, post-disaster recovery); addresses interoperability, delayed response, and coordination gaps. Framework only - no DT built or validated; no live data link and no learning loop. [Full-text source: Endnote]</t>
  </si>
  <si>
    <t>Adaptive multi-robot task allocation framework (UTK/Amazon/TAMU): DT system enables real-time synchronization between physical operations and digital representations as user interface, creating closed-loop feedback; Integer Programming models task allocation (dependencies, heterogeneity, scheduling, replanning); LLM interprets natural-language inputs to autonomously update optimization constraints (97% accuracy in constraint/parameter extraction) without manual programming; case study demonstrates computational efficiency and LLM reasoning. Closed-loop feedback + LLM-based constraint adaptation -&gt; Tier 3; no learning loop (LLM is inference-time, not self-improving). [Full-text source: Endnote]</t>
  </si>
  <si>
    <t>Chinese journal (Tunnel Construction); non-English</t>
  </si>
  <si>
    <t>CV tracking framework; DT as end-goal only</t>
  </si>
  <si>
    <t>Chinese journal (CIMS); non-English full text</t>
  </si>
  <si>
    <t>Renovation DT tracking quality &amp; safety KPIs; pilot + TAM</t>
  </si>
  <si>
    <t>Additive manufacturing; Chinese journal, non-English</t>
  </si>
  <si>
    <t>SLR (229 pubs) + conceptual DT development framework grounded in ISO 19650; no implementation or experiment; DfS/DfQ appear as application potentials, not demonstrated.</t>
  </si>
  <si>
    <t>DTSRM for cost/time/resources; safety only as extension</t>
  </si>
  <si>
    <t>Highway project DT demonstrators incl. health &amp; safety twin</t>
  </si>
  <si>
    <t>Level-2 static twin = calibrated BIM; no live data link</t>
  </si>
  <si>
    <t>Closed-loop simulation DT for unsafe-behavior intervention</t>
  </si>
  <si>
    <t>Scientometric review; DT only integration trend</t>
  </si>
  <si>
    <t>FM reactive maintenance; safety incidental</t>
  </si>
  <si>
    <t>AI design co-pilot; no DT</t>
  </si>
  <si>
    <t>German duplicate of ID 3632; non-English</t>
  </si>
  <si>
    <t>Fusion-reactor maintenance robotics; not AECO</t>
  </si>
  <si>
    <t>Adaptable bridge DT; what-if simulations; safety &amp; lifespan</t>
  </si>
  <si>
    <t>Mining ventilation; not AECO built environment</t>
  </si>
  <si>
    <t>DT-based construction safety-management model for large engineering structures (48 m-span steel roof): DT generates real-time structural state samples that train a PSO-optimised BP neural network for vibration displacement / stress prediction (vertical displacement PA 98.2%, cable stress PA 99.1%, EV 0.978); validated only on a numerical model under 5 simulated working conditions; monitoring-and-warning only, no actuation, offline-trained predictor, no learning loop.</t>
  </si>
  <si>
    <t>Vehicle localization framework; not AECO</t>
  </si>
  <si>
    <t>Integrated WebGIS+WebBIM DT; defect modeling, maintenance, safety</t>
  </si>
  <si>
    <t>Fusion-energy facility design; not AECO</t>
  </si>
  <si>
    <t>Mining; Chinese journal, non-English</t>
  </si>
  <si>
    <t>EV charging/IoV scheduling; not AECO</t>
  </si>
  <si>
    <t>System digital twin (SDT) for life-cycle risk assessment of bridge networks: Bayesian network (BN) integrates multi-source data (NBI bridge inspections, FDOT traffic/AADT, USGS river gage) to update bridge failure risk (superstructure + scour) over time via automated Bayesian inference (indicator matrix for annual updates; network risk profile trends up as data update reduces uncertainty). Miami-Dade County case: 1,034 bridges, 6,478 nodes, 10,584 edges; 3 flexibility scenarios (new bridge, decommissioning, climate-change flood with CPT recalibration). Updating is implemented Bayesian inference — but authors state framework "has not yet been validated"; CPT refits are manual, no autonomous learning loop.</t>
  </si>
  <si>
    <t>NDT data federation in Revit; DT as future tool</t>
  </si>
  <si>
    <t>Aerospace remanufacturing</t>
  </si>
  <si>
    <t>Tech-adoption survey; DT one item in a list</t>
  </si>
  <si>
    <t>Mining ventilation; Chinese journal, non-English</t>
  </si>
  <si>
    <t>Robot DT for motion preview &amp; safe workspace entry; construction HRC</t>
  </si>
  <si>
    <t>Cyber-physical security of CI generally; not AECO-specific</t>
  </si>
  <si>
    <t>Robotics-for-SHM review; DT creation only attempts</t>
  </si>
  <si>
    <t>Four-stage holistic condition-assessment and life-cycle framework for fatigue-loaded railway noise barriers (ÖBB): Stage I standard fatigue calc; IIa/b/c visual-condition classes + action-side (axle-load) and resistance-side (bolt-preload) monitoring; Stage III FEM digital twin (Abaqus, ideal vs displaced-baseplate vs inclined-bolt installation conditions) calibrating stress-range/lifetime (PL0 gives 772 N/mm2 stress range vs 71 N/mm2 normative — 4x accelerated fatigue); Stage IV probabilistic approach with Bayesian updating of condition/lifetime (prior visual + likelihood monitoring/DT → posterior ZKM). DT is an offline numerical model; Bayesian updating described/demonstrated as assessment procedure, not an autonomous self-improving loop.</t>
  </si>
  <si>
    <t>Train-bridge dynamic compatibility verification; no DT</t>
  </si>
  <si>
    <t>Metaverse+DRL evacuation training; building fire safety</t>
  </si>
  <si>
    <t>AI/DT challenges perspective; energy transition focus, safety peripheral</t>
  </si>
  <si>
    <t>DT×Transformer closed-loop for SCP operations; risk prediction, AR execution</t>
  </si>
  <si>
    <t>High-voltage live-line work; power industry, not AECO</t>
  </si>
  <si>
    <t>Data-BIM DT framework for residential quality monitoring</t>
  </si>
  <si>
    <t>Truck platooning logistics; not AECO</t>
  </si>
  <si>
    <t>Construction 4.0 industrial-relations SLR; DT one theme</t>
  </si>
  <si>
    <t>Digital twin city framework (Houston case) using participatory-sensing crowdsourced visual data: geospatial localization of physically-vulnerable objects (wind-borne debris, tower cranes) in distance → update 3D virtual city model → CAVE immersive visualization for disaster risk-informed decision-making (cascading-failure what-if scenarios). One-way physical→virtual model update from analyzed crowdsourced imagery; update is periodic/replacement-based, not a live link and no learning loop.</t>
  </si>
  <si>
    <t>Full-cycle municipal pipeline DT platform (Shanghai Oriental Hub): BIM0–BIM6 full-phase connection + lightweight BIM-GIS, 28 IoT sensing nodes (water pressure, gas leakage, surface temp, &lt;1 s delay) with 5-month pilot; addresses planning collision risks, construction rework, and delayed leakage detection; AI risk model predicted a valve aging risk 7 days in advance (verified on-site); 36.4% O&amp;M cost reduction. One-way IoT→platform monitoring/decision support, no actuation and no self-improvement loop.</t>
  </si>
  <si>
    <t>UAV+DT worker monitoring &amp; authorization; operational safety</t>
  </si>
  <si>
    <t>DT-driven pose/trajectory prediction for MiC stacking; collision prevention</t>
  </si>
  <si>
    <t>Coal-mine roadheader MR-DT; mining domain</t>
  </si>
  <si>
    <t>Healthcare OR air-quality DT; FM/IAQ, no DfS/DfQ</t>
  </si>
  <si>
    <t>Lab prototype of AR + Digital Twin Cyber-Physical System (DPL) for construction-machinery interaction (stationary tower-crane analogue): Arduino MCU sensor/actuator net (ultrasonic distance sensor for safety/clash detection, MPU-6050 accel/gyro) ↔ Unity3D 3D DT over Wi-Fi with bidirectional data/control (AR marker controller remotely operates servos; sensor data drives 3D model; DT latency 0.5–1.0 s). Explicitly bidirectional — virtual acts back on physical — but lab-only robotic analogue, no ML, no learning.</t>
  </si>
  <si>
    <t>Smart-grid DT authentication; power/cybersecurity</t>
  </si>
  <si>
    <t>Maritime smart fairways; not AECO</t>
  </si>
  <si>
    <t>UDi probabilistic rock-block failure prediction in DT workflow; tunnel safety</t>
  </si>
  <si>
    <t>Duplicate of ID 3813 (WoS copy)</t>
  </si>
  <si>
    <t>Chinese journal (Underground Space); non-English full text</t>
  </si>
  <si>
    <t>Deep foundation pit DT platform; multi-source sensing + ML prediction</t>
  </si>
  <si>
    <t>DTCS RAM module; struck-by hazard trajectory analysis; SIF prevention</t>
  </si>
  <si>
    <t>SLR of 395 DT-construction papers incl. safety management</t>
  </si>
  <si>
    <t>Cold-chain warehouse logistics; not AECO</t>
  </si>
  <si>
    <t>DT maturity model for construction machinery; safety &amp; efficiency</t>
  </si>
  <si>
    <t>Underwater glider DT; marine robotics</t>
  </si>
  <si>
    <t>Chinese journal (J. Building Structures); non-English full text</t>
  </si>
  <si>
    <t>BIM-enabled DT for real-time SHM; IoT+DSP+structural analysis</t>
  </si>
  <si>
    <t>IoT+DT whole-process tunnel construction monitoring; collapse capture</t>
  </si>
  <si>
    <t>BIM-FEM excavation analysis; no live DT data link</t>
  </si>
  <si>
    <t>Mine ventilation intelligence; mining, no DT built</t>
  </si>
  <si>
    <t>Chinese journal (China J. Highway Transport); non-English</t>
  </si>
  <si>
    <t>DT adoption drivers/barriers review; safety not in scope focus</t>
  </si>
  <si>
    <t>C4.0 readiness survey in road projects; DT one of 16 techs</t>
  </si>
  <si>
    <t>Milling chatter detection; manufacturing</t>
  </si>
  <si>
    <t>DT for dynamic cost control; no safety/quality angle</t>
  </si>
  <si>
    <t>DT clearance checking for underpasses; collision prevention at design</t>
  </si>
  <si>
    <t>DT+IoT multi-information monitoring system for arch-cover method subway station construction (Shikui Road Station, Dalian Metro Line 5): automatic sensor network (settlement, stress, etc.) → IFC extension + Revit BIM parametric sensor models → BIM database visualization with time-history curves and color-change early-warning; "Construction Control Based on Data Analysis" uses monitored data as control value for decisions, but the loop is human-in-the-loop (feedback to decision-makers), not automated actuation; no ML, no self-improvement.</t>
  </si>
  <si>
    <t>Chinese journal (J. Civil &amp; Environmental Eng.); non-English</t>
  </si>
  <si>
    <t>MWD rock-parameter prediction; no DT</t>
  </si>
  <si>
    <t>DT+semantic web intelligent control of building fire protection</t>
  </si>
  <si>
    <t>Chinese journal (China Civil Eng. Journal); non-English</t>
  </si>
  <si>
    <t>DT framework of human-machine hoisting (tower crane, HUST): 1/30 physical scale model (sensors at 20 Hz) as physical entity + synchronous virtual model (FEM, BIM, component IDA) + IoT data flow for real-time dynamic stability analysis; four unsafe hoisting behaviors (vertical/tilt/sudden braking/unloading) compared (scale model vs simulation vs real-model simulation); collapse-probability level function ranks tilt hoisting as most dangerous, foundation/mast most vulnerable for sensor deployment. Lab scale-model experiment; warning to operator via threshold but no actuation and no learning loop (monitoring system design is future work).</t>
  </si>
  <si>
    <t>DT+KG early-warning of unsafe hoisting operations</t>
  </si>
  <si>
    <t>AV localization via roadside LiDAR; not AECO</t>
  </si>
  <si>
    <t>Autonomous-driving simulation; Chinese journal, non-English</t>
  </si>
  <si>
    <t>BIM+AI+sensor hazard exposure quantification; no DT</t>
  </si>
  <si>
    <t>KG exploitation on DTs for construction safety planning usability</t>
  </si>
  <si>
    <t>Fire-service information needs; no DT system built</t>
  </si>
  <si>
    <t>Airport as cognitive DT of aviation ecosystem; not AECO asset</t>
  </si>
  <si>
    <t>Bearing RUL health indicator; manufacturing</t>
  </si>
  <si>
    <t>Document-native AI for admin workflows; no DT</t>
  </si>
  <si>
    <t>Station greenery perception via DT; well-being, not DfS/DfQ</t>
  </si>
  <si>
    <t>Vision-based DT for wind-borne debris risk; hurricane preparedness</t>
  </si>
  <si>
    <t>Vision-based risk assessment of jobsite windborne-debris impact on nearby dwellings: geometric digital twin of a gravel pile built from 45 UAV aerial images (dense point cloud + binarized DSM, volume 63 m³, EM ~4.6%) + semantic segmentation of glazing panels via CNNs (ResNet50 85.0% acc) from Google Street View + satellite terrain modeling; reliability of glazing systems computed with FEMA-HAZUS windborne-missile model (N_adjusted ~237 impacts at 62 m/s, 80 m). Static one-shot reconstruction/analysis — no live data link and no learning loop.</t>
  </si>
  <si>
    <t>CI cybersecurity incident detection SLR; not AECO-specific</t>
  </si>
  <si>
    <t>German journal (Beton- und Stahlbetonbau); non-English full text</t>
  </si>
  <si>
    <t>VR-based UUT management training simulator (Korea ETRI): digital twin of an underground utility tunnel modeled once from high-precision LiDAR scans, integrated with a 4-DoF motor motion platform; visual (HMD) + kinematic (fall, micro-vibration) feedback with cybersickness-reduction acceleration control; scenario content (facility installation, inspection, device repair); evaluated with 17 participants for cybersickness vs existing VR. Static reconstructed training replica — no live data link from a real asset and no learning loop; worker-safety training motivation.</t>
  </si>
  <si>
    <t>Nuclear containment ROM; Korean journal, non-English</t>
  </si>
  <si>
    <t>RL control of building energy; safety of RL only, not DfS</t>
  </si>
  <si>
    <t>Tire health DT; automotive</t>
  </si>
  <si>
    <t>Comprehensive survey of digital twin applications in civil infrastructure (SHM, predictive maintenance, smart cities, disaster response) reviewing methodologies, case studies and challenges (cost, interoperability, cybersecurity). DTs are the subject but the paper is a narrative/descriptive review with no original methodology, no framework, and no implementation to classify - R=No -&gt; Stage-2 exclude.</t>
  </si>
  <si>
    <t>Real-world building digital twin for fire safety and anomaly detection (17 months of data, two use cases): advanced sensors + dimensionally-accurate 3D model + thermal camera sensors with real-time data fusion; features early fire/anomaly detection, fire localization and intensity evaluation, real-time incident data sharing, and fire-propagation simulation; data analysis predicts potential future threats. One-way sensing→visualization/simulation for operators; no automated actuation (integrating access-control actuation suggested as future work) and no learning loop.</t>
  </si>
  <si>
    <t>3D-scan+BIM precast shape QC; no live DT</t>
  </si>
  <si>
    <t>Real-time DT of a piping system (MECOS-benchmark pipe on shaking table) for PHM: FE model updated via random-vibration FRF matching (Nelder-Mead stiffness/damping calibration), then Craig-Bampton ROM reduces 7,428 to 62 DOFs (~1%, ~450x faster) for Newmark-β real-time estimation of unmeasured-point responses and seismic+arbitrary loads; validated vs FE model/sensors (RMSE 0.0103/0.0266). Model updating is a one-time calibration step during DT construction, not an ongoing self-improvement loop; one-way sensing→estimation, no actuation.</t>
  </si>
  <si>
    <t>Verticality sensing device; DT only beneficiary (edge 3)</t>
  </si>
  <si>
    <t>DT-enabled spatio-temporal heat risk monitoring for workers</t>
  </si>
  <si>
    <t>Informative DT fire emergency management; evacuation risk</t>
  </si>
  <si>
    <t>Natural gas pipeline DMD-DT; energy utility ops</t>
  </si>
  <si>
    <t>Russian journal (Nanotechnologies in Construction); non-English</t>
  </si>
  <si>
    <t>Ultrasound defect detection in plastic panels; manufacturing NDT</t>
  </si>
  <si>
    <t>PLS-SEM framework for DT monitoring; productivity focus, no DfS/DfQ</t>
  </si>
  <si>
    <t>Korean journal (JAIK); non-English full text</t>
  </si>
  <si>
    <t>Bridge resilience review; DT only in proposed future framework</t>
  </si>
  <si>
    <t>GPR antenna DT for data simulation; no asset DT</t>
  </si>
  <si>
    <t>Lightweight digital twin of a crane boom for real-time structural safety monitoring using a multi-fidelity surrogate (MFS) model: low-fidelity surrogate (mechanistic, large LF data) + high-fidelity surrogate (statistical, small HF data) fused with live sensor inputs (inclination, strain at 18 test points) rendered in a Web app; real-time posture mirroring and stress prediction; uncertainty from physical-space sensors quantified (140-run trajectory data). Validated on a lab crane boom; MFS-RBF improves accuracy over single-fidelity and cuts cost vs numerical DT. Offline-trained surrogate, one-way monitoring/prediction — no online learning loop.</t>
  </si>
  <si>
    <t>Bridge reconstruction case; verified FE "element of a DT" only</t>
  </si>
  <si>
    <t>BIM-based digital twin framework for post-earthquake building evaluation from UAV surveys: BIM guides automatic selection of optimal images per damage-sensitive component; GrabCut+nearest-neighbour segmentation assigns image pixels to BIM components (IoU 0.80–0.90); 3D point-cloud change detection (pre/post) identifies damaged nonstructural walls (std-dev indicator, threshold 0.010, correct at moderate-severe levels); damage tied to BIM to link with fragility curves + structural analysis for global safety. Example 1 = real Turner Hall RC frame; Example 2 = synthetic graphics. Framework not fully validated end-to-end (future PBGM work); one-way inspection pipeline, no learning loop.</t>
  </si>
  <si>
    <t>Building energy monitoring DT; energy focus (edge 5)</t>
  </si>
  <si>
    <t>AI-in-AEC review; DT only future direction</t>
  </si>
  <si>
    <t>DT-based monitoring pipeline for slated pitched roofs (University of Edinburgh / Historic Environment Scotland): (1) automated occlusion-free roof-panel orthophoto generation from SfM photogrammetry + the building DT/BIM model; (2) deep-learning semantic segmentation of orthophotos into slates/leadwork/other (PointRend+Focal Loss best, background corrected to 100%); validated on 3 real traditional buildings (Duff House, St Mary's Church, ...). Outputs are semantically linked to DT/digital logbook elements for future defect detection and epoch comparison; processing pipeline is static/offline — no live data link and no learning loop.</t>
  </si>
  <si>
    <t>OPDM-BIM integration method; DT as context only</t>
  </si>
  <si>
    <t>Geometric DT for pipeline deformation/blockage defect assessment</t>
  </si>
  <si>
    <t>Gear measurement DT; manufacturing metrology</t>
  </si>
  <si>
    <t>DT-driven virtual sensor (DTDVS) for construction safety of a trailing suction hopper dredger (Tianjin Dredging Co.): real SCADA data (793 dims) + Lasso/random-forest feature selection; 4 ML algorithms predict torsional vibration in mechanical failure (R2 &gt; 0.9), best DBN model acts as virtual sensor; residual between physical and virtual sensor used to diagnose construction behavior and accurately pre-warn faults, improving time utilization and construction safety. Digital twin structure (physical model / digital model / data link) with virtual-sensor prediction and pre-warning to operators; data flow is monitoring/prediction one-way, no actuation and no stated online self-improvement loop.</t>
  </si>
  <si>
    <t>Power-grid tower point-cloud segmentation; not AECO</t>
  </si>
  <si>
    <t>Industrial product CMF design; Chinese journal, non-English</t>
  </si>
  <si>
    <t>Power equipment O&amp;M; Chinese journal, non-English</t>
  </si>
  <si>
    <t>Pavement defect YOLO; DT only dataset name</t>
  </si>
  <si>
    <t>LfD robot training; DT as perceived workspace only</t>
  </si>
  <si>
    <t>CI resilience framework; district heating plant case</t>
  </si>
  <si>
    <t>NDT crack-mapping review; DT linkage aspirational</t>
  </si>
  <si>
    <t>Aircraft wing stress field; Chinese journal, non-English</t>
  </si>
  <si>
    <t>Dynamic geometric digital twin (gDT) for spatial cable-net structure construction (Shanghai Jiao Tong): multi-stage laser scanning extracts geometric info → parametric IFC/BIM (cables as straight segments, clamps as Revit families) + ABAQUS FEM (shape &amp; force prediction); previous-stage FEM + construction progress + temperature data fill gaps between scan stages to build a continuous dynamic IFC model; stage modelling+computation &lt;140 s, BIM-vs-point-cloud avg 15-20 mm, next-stage cable shape/force prediction deviations 1.3%/1.5%. One-way physical→virtual stage-by-stage update with prediction; no actuation and no learning loop (manual re-parameterisation).</t>
  </si>
  <si>
    <t>DT-enabled safety monitoring system for seamless worker-robot collaboration (Tsinghua U): depth camera + LiDAR perceive workers/robots/materials → geometric-solid virtual representations in a digital twin; computes separation distance (SD) and dynamic protective separation distance (PSD, per ISO 15066/13855); when SD exceeds PSD the system "accesses the physical actuators of robots to stop it" — explicit virtual→physical control (emergency stop). Experiments: 9.8 FPS, 0.177 s reaction latency, 0.09 m perception error, static+dynamic scenarios. No ML used and no learning loop (predictive motion methods are future work).</t>
  </si>
  <si>
    <t>WSN/BIM environmental monitoring &amp; control system for underground parking garage (Taipei case): WSN nodes (coordinator/sensor/router/control) collect CO, temperature, humidity in real time; data transferred over self-constituted WSN and dynamically displayed on corresponding spatial components of a 3D BIM model, making the BIM a real-time DT; actuation (ventilator + flashing alarm on high CO) is performed by the WSN control node directly (sensor→control-node safety loop), not through the virtual twin; reaction ~1-2 s. BIM/DT is a one-way monitoring/visualisation layer; no ML and no learning loop.</t>
  </si>
  <si>
    <t>HRC review; DT-based HRC only future priority</t>
  </si>
  <si>
    <t>Machining quality DT; manufacturing</t>
  </si>
  <si>
    <t>BIM+IoT+GIS logistics DT; efficiency/cost, no safety/quality core</t>
  </si>
  <si>
    <t>Chinese journal (Bridge Construction); non-English full text</t>
  </si>
  <si>
    <t>Floating wind turbine DT; energy sector</t>
  </si>
  <si>
    <t>ImTs-BIM bibliometric; DT one cluster</t>
  </si>
  <si>
    <t>DT+BN risk control for prefab hoisting operations</t>
  </si>
  <si>
    <t>DT-based safety risk coupling framework for prefabricated building hoisting (Beijing U Tech, Sensors 2021): integrates IoT + BIM with Apriori algorithm (association-rule mining among hoisting risk factors) + complex network analysis of risk-factor coupling relationships, built as a DT coupling model; real-time perception and virtual-real interaction of multi-source hoisting information, with BIM visual display to guide on-site hoisting; validated on a large-scale prefabricated project, identifying key control factors. One-way monitoring/analysis→visual guidance for managers; no actuation and no learning loop (early-warning uses mined rules, not self-updating).</t>
  </si>
  <si>
    <t>DT+AI intelligent tensioning of prestressed cables; safety evaluation</t>
  </si>
  <si>
    <t>Chinese journal (J. Building Structures); non-English</t>
  </si>
  <si>
    <t>DT+ML impact response prediction of prestressed steel structures</t>
  </si>
  <si>
    <t>Indoor safety management system (ISMS) based on digital twin, applied to a room in the Beijing 2022 Winter Olympics bobsleigh/sled stadium: IoT sensors collect real-time indoor operation data → BIM-based DTM maps real→virtual; SVM (support vector machine) trained to automatically classify danger types and assess danger levels from DTM data; functions include operation-status scene display, danger warning and positioning, danger classification/level assessment, and automatic danger-handling suggestions; synchronous virtual+real-world alarms. One-way monitoring/analysis→suggestions for staff; no actuation and no stated self-improvement loop (SVM is offline-trained).</t>
  </si>
  <si>
    <t>Chinese journal (J. Architecture &amp; Civil Eng.); non-English</t>
  </si>
  <si>
    <t>DT safety risk prediction for terminal steel roof construction; 98% stress accuracy</t>
  </si>
  <si>
    <t>DT-driven intelligent safety control of large-span steel construction</t>
  </si>
  <si>
    <t>CiteSpace review of intelligent construction; DT only core-literature topic</t>
  </si>
  <si>
    <t>MV-LV substation electrical safety; power equipment</t>
  </si>
  <si>
    <t>SLR integrative framework; operational intelligence broadly, DfS/DfQ not core</t>
  </si>
  <si>
    <t>RPA calibration of damage into BIM; no live DT</t>
  </si>
  <si>
    <t>Modal identification study; DT as future foundation</t>
  </si>
  <si>
    <t>GIS app for bridge inspection→BIM; no DT</t>
  </si>
  <si>
    <t>COWINE community DT ecosystem for disaster-resilient communities built on Cities:Skylines simulation engine with integrated real-world data (Brevard County FL pilot: topography, infrastructure, traffic, transit, disaster stats, 120k simulated agents); five-dimensional DT framing; collaborative stakeholder/public use-case for tornado preparedness/response/recovery with resilience-property analysis (vulnerability, robustness, redundancy, resourcefulness). Explicitly NOT real-time: "manual data-integration process", "human-based (manual) intermittent data flow", no automated calibration (future mods); no ML and no learning loop — descriptive, simulation-based.</t>
  </si>
  <si>
    <t>Chinese journal (J. Traffic &amp; Transportation Eng.); non-English</t>
  </si>
  <si>
    <t>Automated slope digital models + web DT; slope safety management</t>
  </si>
  <si>
    <t>Thermal energy storage DT; energy scheduling, safety incidental</t>
  </si>
  <si>
    <t>Serious-game MEP coordination education; DT linkage future</t>
  </si>
  <si>
    <t>Duplicate of ID 3688 (WoS copy)</t>
  </si>
  <si>
    <t>Inspection DT for tunnel degradation; serviceability &amp; intervention prediction</t>
  </si>
  <si>
    <t>Automated procedural modeling for tunnel inspection DT; defect detection</t>
  </si>
  <si>
    <t>WWTP cybersecurity testbed; water industrial ICS</t>
  </si>
  <si>
    <t>Smart road IoT/DT for traffic; not built-asset DfS/DfQ</t>
  </si>
  <si>
    <t>Automotive/aviation/maritime DT survey; not AECO</t>
  </si>
  <si>
    <t>8D BIM rule-based compliance; static BIM, DT as label</t>
  </si>
  <si>
    <t>Road situational awareness streaming; vehicular</t>
  </si>
  <si>
    <t>Mining heritage site environmental DT; not AECO</t>
  </si>
  <si>
    <t>CNI cyber-resilience methodology; energy/connected sites</t>
  </si>
  <si>
    <t>MARS reliability of excavations; DT/BIM as outlook</t>
  </si>
  <si>
    <t>BIM-GIS-based asset management system (AMS app) for the diffused University of Turin campus (two demonstrator buildings): web platform with interactive 3D map + analytical dashboards for real-time visualization of the asset stock from a centralized database integrating spatial/functional data; crowd simulations (Pathfinder-style) assess fire-emergency safety and evacuation time as a benchmark; cognitive digital twins are framed as the long-term future objective — no live sensor/IoT data flow yet (sensor deployment and ML-based automated analysis are future work). Static visualisation platform toward future CDTs; one-way, no learning loop.</t>
  </si>
  <si>
    <t>Organisational SR of DT in AEC; use/user perspective, DfS/DfQ not core</t>
  </si>
  <si>
    <t>Chinese journal (J. Basic Science &amp; Eng.); non-English</t>
  </si>
  <si>
    <t>DT orchestration layer for federated worker-safety AI; occupational risk</t>
  </si>
  <si>
    <t>FL-based Safety Monitoring DT for multi-worker safety prediction</t>
  </si>
  <si>
    <t>Renovation environmental-impact DT; energy/carbon focus</t>
  </si>
  <si>
    <t>German journal (Bautechnik); non-English full text</t>
  </si>
  <si>
    <t>XR lifecycle safety framework; BIM/Lean/PtD but no DT</t>
  </si>
  <si>
    <t>BIM-MBSE semantic bridge; DT environment only as context</t>
  </si>
  <si>
    <t>Natural-period regression; DT as application context</t>
  </si>
  <si>
    <t>DT-NFT data ownership; no safety/quality focus</t>
  </si>
  <si>
    <t>Ship manoeuvring DT; maritime</t>
  </si>
  <si>
    <t>Quality-Sustainability Integration Index (QSII) reconceptualising construction defects as indirect drivers of energy/carbon use: survey of 83 Nigerian professionals + longitudinal maintenance records for 14 buildings in Lagos + BIM-based Lifecycle Assessment quantifying embodied carbon from defect-induced repair cycles (envelope/waterproofing defects highest, up to 3.4x carbon multiplier, 82.3 tCO2e per 1000 m2 over 5 yr, 44% lifecycle-carbon gap between high/low quality); a conceptual Digital Twin prototype visualises defect propagation pathways and intervention strategies but is explicitly "not operationally validating... presently a conceptual tool only" — no live data, no implementation, no learning loop.</t>
  </si>
  <si>
    <t>Digitalisation case-study review; DT one of many techs</t>
  </si>
  <si>
    <t>LIDAR+VR bridge inspection; "step towards DTs"</t>
  </si>
  <si>
    <t>AHP risk assessment; BIM/DT only as smart-O&amp;M factor</t>
  </si>
  <si>
    <t>Russian journal (Russian Electrical Eng.); non-English</t>
  </si>
  <si>
    <t>Thermal-bridging DT platform; energy performance, no DfS/DfQ</t>
  </si>
  <si>
    <t>Systematic literature review (52 papers, Scopus+WoS, 2005–2023) on ontology/semantic-web/linked-data integration in BIM and digital-twin based construction management during the construction execution phase; identifies 8 use cases (incl. safety management, compliance checking, construction planning &amp; production control); trend + theoretical analysis of how semantic-web tools (ifcOWL, BOT, SPARQL, SWRL) serve each use case; barriers: data privacy, scalability, ontology-mapping complexity. Review only — no DT built or tested; DfS/DfQ appear among reviewed use cases, not demonstrated; no learning loop.</t>
  </si>
  <si>
    <t>Anomaly-enhanced digital twin (AEDT) for intelligent inspection of slope/SWC infrastructure (central Taiwan): multiview UAV imagery + SfM 3D reconstruction + CNN for automated anomaly classification (erosion/spalling/siltation/collapse, macro-F1 0.81 on 2000 annotated images, 3 severity levels); anomalies semantically embedded into an interactive GIS-compatible DT platform linking geometry + damage attributes + historical maintenance records for lifecycle management; field deployment cut inspection time ~63%. One-way inspection→semantic DT for maintenance scheduling and risk-based prioritisation; CNN offline-trained, no actuation and no online learning loop (edge-AI real-time inference is future work).</t>
  </si>
  <si>
    <t>Enriching geometric DTs with fire-safety objects; condition monitoring</t>
  </si>
  <si>
    <t>Text-mining systematic review of DTs in construction; safety &amp; productivity</t>
  </si>
  <si>
    <t>AR-based disaster management; physical-virtual linkage but pre-DT (2018)</t>
  </si>
  <si>
    <t>ASCE 75 utility as-built standard; DT as data product</t>
  </si>
  <si>
    <t>Irrigation network DT; water/agriculture infrastructure</t>
  </si>
  <si>
    <t>Systematic literature review of embedded concrete sensors (fiber optic, piezoelectric, capacitive, resistive) for SHM and service-life estimation, examining 71 Scopus/ScienceDirect articles (2022-2025); discusses integration with AI/IoT/BIM/ANSYS and digital twins only as reported in the reviewed literature. No digital twin is built, evaluated, or methodologically developed here; DfS/DfQ is about generic structural durability. P=No, R=No → Stage-2 exclude.</t>
  </si>
  <si>
    <t>Underground coal mine BIM+TLS; mining</t>
  </si>
  <si>
    <t>BIM-enhanced DT architecture for construction pollution management in renovation (auditorium, Chulalongkorn Univ): five components (PE/VM/DD/Ss/CN), novel hybrid LOIN-LOD framework (LOD-G 200 as-is scan-to-BIM → LOD-G 350 as-designed) defining as-needed BIM information for DT; six IoT sensor clusters (PM2.5, CO2, noise, vibration) streamed via MQTT/Firebase into Node-RED rule-based engine with threshold alerts + React/Autodesk Forge dashboard; 1-s real-time monitoring. Bidirectional feedback/actuator control described but "implementation remains limited" — no automated actuation, no ML, no learning loop.</t>
  </si>
  <si>
    <t>Site layout optimization; hazard risk one objective, no DT</t>
  </si>
  <si>
    <t>Modern-industry risk assessment reflections; manufacturing/energy cases</t>
  </si>
  <si>
    <t>3D FEM digital twin (SAP2000) of the "Ponte della Musica" arch bridge (Rome) calibrated against experimental ambient-vibration modal parameters (eigenfrequency error ~2%) and used for thermo-mechanical analyses: correlates air-temperature variation with deck vertical displacement (fmax = 0.0009 + 0.004·ΔT; ±5 °C → ±2 cm) to explain why COSMO-SkyMed X-band DInSAR-SBAS loses the central span (max detectable LOS displacement ~0.8 cm &lt; thermal deformation). One-time calibration with field data, then static what-if thermal analysis; no live data link and no learning loop.</t>
  </si>
  <si>
    <t>Duplicate of ID 3536 (WoS copy)</t>
  </si>
  <si>
    <t>ETO manufacturing warehouse DT; factory domain (edge 1)</t>
  </si>
  <si>
    <t>Nuclear power unit monitoring DT</t>
  </si>
  <si>
    <t>Transmission tower SHM DT; power infrastructure (edge 2)</t>
  </si>
  <si>
    <t>Duplicate of ID 3710 (WoS copy); power infrastructure</t>
  </si>
  <si>
    <t>Deep-learning "LiDAR-simulated digital twin" framework generating probabilistic 3D point clouds of rail fasteners in real time from depth + grayscale images (Siamese self-supervised contrastive learning with vision transformer + Fourier net + multilevel fusion + Bayesian NN for uncertainty; 30 image-pairs per fastener from high-speed track inspection vehicle; CD 0.3926, HD 1063.79, contrastive loss 0.3142). Framed as "a step toward digital twin" — the DT itself is future work (foundation-model depth estimation); rail-fastener tightness/wear monitoring is the safety application, but no asset twin, no live loop, no learning.</t>
  </si>
  <si>
    <t>Chinese journal (China Rural Water &amp; Hydropower); non-English</t>
  </si>
  <si>
    <t>IFC+MCS real-time evacuation routing; DT-like emergency management</t>
  </si>
  <si>
    <t>Aviation connector pin defect DT; aerospace manufacturing</t>
  </si>
  <si>
    <t>Chinese journal (Experimental Tech. &amp; Mgmt); non-English, no DT</t>
  </si>
  <si>
    <t>Designs a comprehensive "digital safety system" (DSS) framework for construction site health &amp; safety monitoring: reviews essential technologies, proposes a data-physics-driven model for automating safety processes, and uses multi-criteria decision analysis (TOPSIS/MCDM) to rank technology alternatives; validated via questionnaire/t-test in Tehran municipality region; pre-construction period identified as most safety-data-driven stage. A digital twin is only described as "possibly developing" in the future — no DT is actually built or evaluated. P=No → Stage-2 exclude.</t>
  </si>
  <si>
    <t>BIM+FEM+real-time SHM digital replica of dam; seismic safety</t>
  </si>
  <si>
    <t>IoT-in-construction scientometric; DT one theme</t>
  </si>
  <si>
    <t>Oil-well construction MDP DT; O&amp;G drilling</t>
  </si>
  <si>
    <t>Well construction scenario DT; O&amp;G drilling</t>
  </si>
  <si>
    <t>Well construction RL planning; O&amp;G drilling</t>
  </si>
  <si>
    <t>DT risk systematization for construction projects; anomaly detection</t>
  </si>
  <si>
    <t>Tech adoption perceptions vs project data; DT one of many</t>
  </si>
  <si>
    <t>AI+tech correlation survey; DT one of 13 technologies</t>
  </si>
  <si>
    <t>LSTM surrogate for earthquake-flood response; no DT</t>
  </si>
  <si>
    <t>BIM+AR bridge inspection; "heading toward a DT"</t>
  </si>
  <si>
    <t>ITA-AITES BIM tunnelling guideline; sustainability focus</t>
  </si>
  <si>
    <t>Duplicate of ID 3818 (WoS copy)</t>
  </si>
  <si>
    <t>German journal (Mauerwerk); non-English full text</t>
  </si>
  <si>
    <t>BIM-based DT of urban roads; defect detection &amp; predictive maintenance</t>
  </si>
  <si>
    <t>4D BIM scientometric; DT one emerging theme</t>
  </si>
  <si>
    <t>Topic-modeling review + framework of DT/IoT/big-data for construction safety</t>
  </si>
  <si>
    <t>MRDT adoption TAM meta-analysis; safety only as outcome context</t>
  </si>
  <si>
    <t>BIM+DT convergence roadmap; no DfS/DfQ core</t>
  </si>
  <si>
    <t>DT underground-space planning; BN accident risk &amp; disaster warning</t>
  </si>
  <si>
    <t>DT framework for large cavern stability; real-time monitoring &amp; optimization</t>
  </si>
  <si>
    <t>AI-enhanced DT framework for roadway serviceability under floods: GAT (graph attention network) couples flood simulation with INRIX traffic-speed data (5-min speed, 6-h flood intervals) to predict segment-level speed/accessibility 45 min ahead (test MSE 0.2602), capturing direct + indirect (rerouting) impacts; GIS/ArcGIS-based 3D DT visualization for emergency decision support. Validated on Hurricane Harvey (Houston, 2 zones); explicitly a "digital twin prototype" — live sensor ingestion "not yet automated", flood scenarios precomputed, no bidirectional feedback/control; offline-trained GNN, no learning loop.</t>
  </si>
  <si>
    <t>Reverse DT mapping of envelope anomalies; UAV infrared + CNN</t>
  </si>
  <si>
    <t>Russian journal; UAV diagnostics, no DT core, non-English</t>
  </si>
  <si>
    <t>Slope digital twin driven by an optimised surrogate model (stacking ensemble learning) for landslide safety monitoring: displacement prediction with multidimensional error analysis + adaptive parameter adjustment + model updating/retraining as a dynamic optimisation mechanism that "dynamically self-corrects against the Sim-to-Real gap"; error reduced 20% to 5% (validated with indoor loading + DIC experiments); Donglingxin landslide DT dynamically displays 2010-2022 deformation (acceleration-stabilisation, rate 12.5 to 15.5 to 11.8 mm/y). One-way monitoring to prediction/visualisation; implemented retraining loop but no convergence criterion/metric - AA=Implemented, not Convergence-characterised.</t>
  </si>
  <si>
    <t>Commentary on aging concrete rehab; DT one of many techs</t>
  </si>
  <si>
    <t>YOLO equipment detection benchmark; DT as future extension</t>
  </si>
  <si>
    <t>AI+FOS railway SHM review; DT-integrated RL only emerging</t>
  </si>
  <si>
    <t>Aircraft nacelle NDT CAD-native DT; aerospace</t>
  </si>
  <si>
    <t>Climbing-robot + defect segmentation + DT platform for facade inspection</t>
  </si>
  <si>
    <t>Digital-twin-assisted fault diagnosis for construction-robot joints (RV reducer): gear-dynamics virtual-entity model generates faultless vibration (X-domain), CycleGAN maps virtual→physical domain using only ~400 measured samples (Y-domain), and CNN-ResNet classifies wear/crack/pitting/normal faults — accuracy raised from 32.5% (measured only) to 98.86% with 1200 simulated samples (best of GAN/transfer baselines). Validated on a lab RV-reducer test rig with acceleration/temperature sensors; DT is an offline data-augmentation/generative model for training, no live twin loop, no learning.</t>
  </si>
  <si>
    <t>LLM+KG safety risk assessment; DT integration future work</t>
  </si>
  <si>
    <t>DTCS auto-generated VR safety training; BIM+schedule+hazard data</t>
  </si>
  <si>
    <t>RNN+BIM co-simulation track prediction; no DT claim</t>
  </si>
  <si>
    <t>Graph-based digital twin for urban heatwave response planning (Vienna city center, Horizon PANTHEON): integrates Google Solar API real-time heat-index data + spatial population distribution/vulnerability (Vienna Open Data, META) + critical road infrastructure (OpenStreetMap) into a graph network model; Spatial Dependency Risk Analysis captures cumulative risk paths, identifies critical junctions (e.g., node 683 "cold spot") and automatically plans ambulance/first-responder routes from cooling spots to high-risk hotspots (&lt;=15 min patrol). One-way planning/decision-support tool; graph-based dependency analysis (no ML training loop), no actuation and no learning loop; future work adds real-time data and transfer to other cities.</t>
  </si>
  <si>
    <t>Hyper-connected pavement concepts; DT mode discussion only</t>
  </si>
  <si>
    <t>Digital-twin-driven bridge construction safety-monitoring platform (Zhanlin Yellow River cable-stayed bridge, incremental launching): dynamic multi-resolution DT (web-BIM model + Midas Civil FE model, 267 rod elements/19 stages); 120 embedded strain gauges + support-reaction/temperature/displacement sensors stream real-time to the twin; stress/deformation warning mechanism with 3 warning levels (e.g., stress deviation 11% → L1, 20-30% → L2, &gt;30% → L3) triggers alerts to on-site personnel who adjust construction. One-way monitoring→analysis→human action; no automated actuation and no learning loop.</t>
  </si>
  <si>
    <t>3D reconstruction from surveillance; DT management as beneficiary</t>
  </si>
  <si>
    <t>Chinese journal (China Safety Science J.); non-English</t>
  </si>
  <si>
    <t>DT of geological conditions in rock tunnel construction; risk management</t>
  </si>
  <si>
    <t>Marine machinery fault diagnosis DT</t>
  </si>
  <si>
    <t>DT intelligent risk prognosis &amp; control of foundation pit excavation</t>
  </si>
  <si>
    <t>Data+knowledge-driven bridge DT for smart O&amp;M; failure risk prediction</t>
  </si>
  <si>
    <t>Human-in-the-loop DT for CI O&amp;M; risk sensing/prediction/control</t>
  </si>
  <si>
    <t>Progress prediction portfolio; DT integration future</t>
  </si>
  <si>
    <t>Real-time sensor→DT of articulated equipment; struck-by/utility strike prevention</t>
  </si>
  <si>
    <t>German journal (Bauingenieur); non-English full text</t>
  </si>
  <si>
    <t>Automation/robotics adoption in Indonesian SOEs; DT prospect only</t>
  </si>
  <si>
    <t>Subcontracting &amp; safety innovation; digitalization broadly, no DT</t>
  </si>
  <si>
    <t>Quality defect trigger identification in a construction digital twin (Southeast U): evolution-mechanism + ontology-based four-layer semantic model (quality standards / quality data / defect triggers / construction processes) implemented in GraphDB for semantic linkage of multisource heterogeneous data; an iterative deviation-computation engine (process logic + rule constraints) identifies potential quality defect triggers and visualises them in the DT; validated on a real prefabricated composite-slab installation case + comparative experiments + expert evaluation. One-way data integration→reasoning→identification/visualisation for proactive quality management; no actuation, no self-improvement loop.</t>
  </si>
  <si>
    <t>Critical information infrastructure cybersecurity; grid DT testbed</t>
  </si>
  <si>
    <t>Scoping literature review + Research-through-Design proposal of a conceptual framework integrating BIM-based digital twinning, Safety Management processes, and a Decision Support System (DSS) for OHS decision-making in building construction; outlines data/information streams, KPIs, real-time interfaces and worker engagement, and notes ML as a future requirement for real-time optimisation of assessment. Purely conceptual — no DT built, no experiment, no test; predictive/self-improving features only proposed as future work.</t>
  </si>
  <si>
    <t>Building Digital Twin Platform (BDTP) architecture to overcome digitalization barriers for automating construction site management (TECNALIA, DSR + PDCA + Living Labs): diagnoses on-site inefficiencies and barriers via questionnaires/interviews; proposes standardized BPMN workflows with the DT as a service-oriented actor, modelling five cross-cutting domains (progress monitoring, quality control, OHS, equipment control, production planning) with digital/human agents connected via APIs; property-graph data model and use cases. Conceptual framework only — implementation, KPIs and AI/ML are "in the long-term"/future ("could be seamlessly implemented"); no deployed data link, no learning loop.</t>
  </si>
  <si>
    <t>Predictive DT for civil structures; DBN updating + maintenance planning</t>
  </si>
  <si>
    <t>Review + methodology proposal for "physical digital twins" of ancient corbelled stone masonry (Sardinian nuraghi, cultural heritage): combines historical analysis of original construction techniques (dry masonry, thrust-free pseudo-domes, block distribution) with proposed mechanical-modelling approaches (discrete-element / variational-inequality granular models, multiphysical weathering: water diffusion, salt crystallisation, thermal, chemical) to assess structural safety and predict preservation-state evolution. No DT is actually built or validated — approaches are "possible roads... under investigation for future structural studies"; no live data, no learning.</t>
  </si>
  <si>
    <t>TERIMAAS BIM+GIS+IoT multi-hazard framework; flood risk of building</t>
  </si>
  <si>
    <t>Green-IoT scoping review; DT future direction only</t>
  </si>
  <si>
    <t>Mining DT framework; not AECO</t>
  </si>
  <si>
    <t>Agentic AI governance; HVAC/energy focus, safety as governance risk</t>
  </si>
  <si>
    <t>Sailing robot virtual environment; maritime</t>
  </si>
  <si>
    <t>UAV+AMR DT for road maintenance; worker safety &amp; inspection</t>
  </si>
  <si>
    <t>Disaster risk assessment review; DT one method among many</t>
  </si>
  <si>
    <t>Coal mine heading; Chinese journal, non-English</t>
  </si>
  <si>
    <t>Graphics-based DT for UAV post-earthquake inspection of high-rises</t>
  </si>
  <si>
    <t>MR+ML cable robot; no DT component</t>
  </si>
  <si>
    <t>Vision deformation measurement; graphics DT only as synthetic env</t>
  </si>
  <si>
    <t>Consumer-electronics smart-city DT; traffic GNN</t>
  </si>
  <si>
    <t>Interactive and immersive process-level digital twin (I2PL-DT) in VR for collaborative human-robot construction work (Univ. of Michigan): human in VR does high-level task planning/supervision and trajectory guidance; KUKA mobile robotic arm (emulator) does sensing, motion planning (SBT/motion-plan generation, collision-free) and physical execution via ros_control + PID to real actuators; seamless bidirectional communication between human and robot with real-time robot status supervision; augmented telepresence prevents workers from exposure to on-site hazards (safety benefit); drywall installation case with imperfect framing, 20-subject human-in-the-loop study. Genuine virtual→physical robot control → Tier 3; no ML learning loop.</t>
  </si>
  <si>
    <t>Oil/gas pipeline smart-liner DT</t>
  </si>
  <si>
    <t>Closed-loop DT for BIM-driven human-robot workflows; as-built updating</t>
  </si>
  <si>
    <t>Sodium-cooled reactor RTDT; nuclear</t>
  </si>
  <si>
    <t>Coal mine heading face; Chinese journal, non-English</t>
  </si>
  <si>
    <t>SOLOv2 progress monitoring; DT as future development</t>
  </si>
  <si>
    <t>Review + conceptual framework for integrating digital twins into intelligent construction of prefabricated buildings (Construction 4.0): synthesises state-of-the-art DT applications in hoisting management (Dijkstra route planning, DT-SVM risk prediction, Bayesian-network risk control), construction oversight (BIM-DT, blockchain DT sharing), and safety/risk monitoring (wearable-sensor ergonomic LSTM feedback); proposes a structured DT framework and a construction-service-bus (CSB) architecture for physical-digital integration. Purely conceptual/review — no DT implemented or validated; AI learning and closed-loop control only described as future directions.</t>
  </si>
  <si>
    <t>BIM-CIM smart city governance; DT not core</t>
  </si>
  <si>
    <t>Eye-tracking AR situation awareness; no DT</t>
  </si>
  <si>
    <t>DT+DL+MR real-time visual warning system for worker safety</t>
  </si>
  <si>
    <t>Knowledge-data DT platform for tunnel face stability prediction/control</t>
  </si>
  <si>
    <t>DT framework for slurry shield attitude prediction/optimization; safety &amp; quality</t>
  </si>
  <si>
    <t>Tunnel DT construction + virtual-real fusion; accident rescue &amp; emergency</t>
  </si>
  <si>
    <t>Inland waterway digital twin based on 3D video fusion (China Academy of Transportation Sciences): drone tilt photography + BIM build a static 3D waterway scene; multi-channel surveillance-video 3D registration/rendering fuses discrete videos into the scene (2D/3D linkage); multi-source IoT sensing data (AIS, etc.) integrated into the digital twin scene for water safety management (facility management, daily monitoring, illegal-evidence collection, emergency response); demonstrated on Changhu-Shen Line segment. One-way fusion/monitoring/visualisation for managers; "scene iteration driven by online data" is stated as next-step future work — not yet implemented, no learning loop.</t>
  </si>
  <si>
    <t>Autonomous ship DT; maritime</t>
  </si>
  <si>
    <t>Ship parameter identification; maritime</t>
  </si>
  <si>
    <t>Smart home cybersecurity DT; not AECO industry</t>
  </si>
  <si>
    <t>City-scale 3D modelling algorithm; efficiency focus (edge 10)</t>
  </si>
  <si>
    <t>AIoT DT for smart firefighting; super real-time fire forecast</t>
  </si>
  <si>
    <t>Open-pit mining 5G DT; Chinese journal, non-English</t>
  </si>
  <si>
    <t>Edge-cloud DT for high-rise vibration anomaly detection/localization</t>
  </si>
  <si>
    <t>Deepwater well construction DT; O&amp;G</t>
  </si>
  <si>
    <t>Radioactive waste repository DT; nuclear</t>
  </si>
  <si>
    <t>IoT+blockchain material provenance; DT as prospect</t>
  </si>
  <si>
    <t>BIM+real-scene 3D DT for building SHM; sensor/data management</t>
  </si>
  <si>
    <t>Vehicle-road-cloud review; Chinese journal, non-English</t>
  </si>
  <si>
    <t>Construction machinery development process; manufacturing DT</t>
  </si>
  <si>
    <t>Computer-vision-based digital twin framework for proactive near-miss prediction (Harbin IT): integrates real-time worker trajectories, postures and interactions into a dynamic 3D construction-site model; non-autoregressive transformer predicts future movement sequences (human motion model trained on Human3.6M dataset, inverse kinematics for joint angles) + collision detection identifies potential near-misses with early warnings; field-validated in three high-risk zones (forklift paths, floor openings, material lifting). One-way perception→prediction→early warning for safety managers; no actuation and no self-improvement loop (model is offline-trained).</t>
  </si>
  <si>
    <t>Computer-vision-based digital twin framework for proactive near-miss prediction (Harbin IT): integrates real-time worker trajectories, postures and interactions into a dynamic 3D construction-site model; non-autoregressive transformer predicts future movement sequences (human motion model trained on Human3.6M dataset, inverse kinematics for joint angles) + collision detection identifies potential near-misses with early warnings; field-validated in three high-risk zones (forklift paths, floor openings, material lifting). One-way perception to prediction to early warning for safety managers; no actuation and no self-improvement loop (model is offline-trained).</t>
  </si>
  <si>
    <t>Shop-floor manufacturing DT; Chinese journal, non-English</t>
  </si>
  <si>
    <t>DT multi-objective optimization of shield tunneling parameters; safety</t>
  </si>
  <si>
    <t>CAV test field; automotive testing</t>
  </si>
  <si>
    <t>Li-ion battery DT; Chinese journal, non-English</t>
  </si>
  <si>
    <t>BIM+DT real-time maintenance monitoring of tunnel; anomaly detection</t>
  </si>
  <si>
    <t>Unmanned excavators review; Chinese journal, non-English</t>
  </si>
  <si>
    <t>5D model review for O&amp;G plant remote monitoring</t>
  </si>
  <si>
    <t>Metaverse for energy industry (O&amp;G)</t>
  </si>
  <si>
    <t>DT tunnel construction early warning; collapse predicted, personnel saved</t>
  </si>
  <si>
    <t>SCADA intrusion detection; DT only future validation</t>
  </si>
  <si>
    <t>FNO dam leakage detection for operational DTs; safety monitoring</t>
  </si>
  <si>
    <t>Earthwork digital twin for teleoperation of an automated bulldozer in mine edge dumping (Hulunbuir open-pit): three-stage DT — anterior-time (UAV tilt-photography 3D model, 0.6 cm avg error; improved BoundED point-cloud edge detection of retaining wall, precision 0.923/F1 0.877; blade-trajectory generation), real-time (5G teleoperation platform displaying video, radar obstacle detection, RTK/IMU attitude, force feedback, eye-tracking), posterior-time (big-data storage/analysis; +2 h/day effective work). DT provides real-time perception/visualisation for human teleoperation (control via operator, not automated by twin); no learning loop.</t>
  </si>
  <si>
    <t>DT intelligent safety analysis of large underground space construction</t>
  </si>
  <si>
    <t>Mining BIM parametric modeling; Russian journal, non-English</t>
  </si>
  <si>
    <t>Deep-sea gas field DT; Chinese journal, non-English</t>
  </si>
  <si>
    <t>Dynamic DT health monitoring of steel structures; CNN-LSTM+Bayesian</t>
  </si>
  <si>
    <t>PCD joint detection for geometric DT of cable domes; safety/stability</t>
  </si>
  <si>
    <t>3D stratigraphic modeling; urban DT as application context</t>
  </si>
  <si>
    <t>Safety Intelligent Navigation Platform (SINP) for tower crane climbing (HUST): systematic control framework integrating theoretical risk analysis (process analysis of key safety-critical points), GDTA-derived worker situation-awareness requirements, and a 4-layer digital twin virtual model (geometric/physical/behavioral/rule-based) with IoT-based real-time mapping/dataflow; edge intelligent control device (EICD) provides real-time safety navigation + alarms to workers, mobile monitoring for supervisors, cloud remote inspection; validated in indoor functional + outdoor practical experiments (task completion 515-676s→375-444s, errors 1.4-4.8→0, dialogues 11.8→0.8). One-way monitoring→navigation/alarms to humans; no automated actuation and no learning loop.</t>
  </si>
  <si>
    <t>Power grid construction site video monitoring; power industry</t>
  </si>
  <si>
    <t>AI-empowered digital twin framework for high-precision building facade defect management (CUHK): UAV visual data acquisition + deep-learning object detection (YOLO/R-CNN series) for defect detection; GeoBIM (BIM+GIS) environment with end-to-end pipeline for defect localization and semantic registration — virtual building model + camera geometry from geographic metadata, synthetic views simulate capture conditions, depth-based inference of each defect's spatial location, dual-verification (image + geographic features) removes duplicates; defect data projected into georeferenced DT with structural context from GeoBIM; validated on a Hong Kong high-rise. One-way inspection→semantic DT for maintenance; no actuation and no self-improvement loop.</t>
  </si>
  <si>
    <t>Framework extending BIM Level-of-Details (LoDs) for construction-site digital twins: defines four core DT components (physical environment, digital representation/BIM, IoT, data storage-integration-analytics, interaction/feedback) plus new LoD-Graphics and LoD-Information (100–500) for construction-site components (site space, roads, facility, equipment, material, people) and maps minimum LoDs per BIM use/stage. Validated only via 31 questionnaires + 10 international expert interviews (&gt;77% agree DT improves construction safety); no DT implemented or tested; feedback/autonomy described as future direction, no learning loop.</t>
  </si>
  <si>
    <t>Intelligent construction review; DT only future path</t>
  </si>
  <si>
    <t>DT synchronous jacking control of aerial building machine; structural safety</t>
  </si>
  <si>
    <t>MBSE-designed DT for bridge rotation construction monitoring; risk prediction</t>
  </si>
  <si>
    <t>PPE detection data-mixing benchmark; DT only synthetic data source</t>
  </si>
  <si>
    <t>Duplicate of ID 3681 (WoS copy)</t>
  </si>
  <si>
    <t>CUBIT-InSeg: high-resolution UAV façade-defect instance segmentation dataset (6996 images @4800x3200, 62,187 instances of cracks/spalling) with 80+ models benchmarked and zero-shot transferability on two cross-domain datasets; deployment workflow registers defects to an as-is digital twin — integrates instance-level segmentation + photogrammetry-based reconstruction + GIS-oriented registration to project defect masks from image space onto the DT surface, converting to metric measures (crack width/length, spalling area) for standard-aligned severity (SI) assessment; validated on a multi-storey logistics building in HK. One-way inspection→DT for severity evaluation; no actuation and no learning loop.</t>
  </si>
  <si>
    <t>DT-driven predictive diagnosis of urban lifeline hidden risks; perspective</t>
  </si>
  <si>
    <t>Textile spinning monitoring; Chinese journal, non-English</t>
  </si>
  <si>
    <t>DT evaluation of public toilet ventilation; health/safety of IAQ</t>
  </si>
  <si>
    <t>Digital-twin-enabled anti-collision system for HRI safety on construction sites (5D DT: PE/DD/VE/SS/CN): multi-sensor fusion (RGB-D image+depth, IMU motion) + multi-modal analysis (YOLOv5/Faster-RCNN detection, HRNet excavator key-points) drive a Unity 3D virtual entity; rule model divides 3D site into dangerous/warning/safe zones (TTC+SO, d_danger=600 mm, d_warn=1200 mm) triggering collision warnings to smart helmets/tri-colour lights in a perception-analysis-decision-execution closed loop. Lab case study with 1:24 scaled excavator: zone warning precision 96.4%/95.3%, recall 98.8%/97.4%, delay 0.13 s. Warnings executed to humans/devices but no automated machine control; no self-improvement (manual retraining via data management).</t>
  </si>
  <si>
    <t>DT simulation for NATM tunnel construction under uncertainty; safety/schedule</t>
  </si>
  <si>
    <t>Digital twin system for a regional bridges group (Southeast U / Tongji): physical space collects vehicle info + structural response from bridges; digital space builds numerical models per bridge with traffic load as the linking variable; Transformer neural network predicts bridge responses (vehicle-load-based, within/cross-bridge, measured-data fusion) to enable safety warning across the regional network; validated on three concrete bridges in Jiangsu (vehicle driven over bridges; compared vs LSTM/BiLSTM/BiGRU; metrics Ta/RMAE/R²). One-way monitoring/prediction→safety warning &amp; O&amp;M decisions; no actuation and no self-improvement loop (offline-trained Transformer).</t>
  </si>
  <si>
    <t>Chinese journal (J. Tsinghua Univ.); non-English</t>
  </si>
  <si>
    <t>DT model theory for tunnel construction safety assessment; settlement prediction</t>
  </si>
  <si>
    <t>Power equipment perception; power industry</t>
  </si>
  <si>
    <t>DT-based building collapse accident investigation</t>
  </si>
  <si>
    <t>Chinese journal (Bridge Construction); non-English</t>
  </si>
  <si>
    <t>Modelling study of prefabricated building construction process using digital twins + prefabricated BIM (Chongqing Jiaotong U): DT/prefab construction system with measuring sensors for real-time monitoring and prediction of component damage/deformation (production, transport, assembly); assembly BIM transferred to network cloud for BIM display; risk-indicator data analysed with factor analysis (Cronbach alpha 0.8-0.9, KMO, variance 65.02% cumulative) for potential safety hazards during construction. One-way monitoring/prediction→designer guidance; no actuation and no self-improvement loop (data collection is narrow — acknowledged limitation).</t>
  </si>
  <si>
    <t>DT+BP NN for prestressed steel construction safety prediction</t>
  </si>
  <si>
    <t>Bridge thermal response bibliometric; DT recent trend only</t>
  </si>
  <si>
    <t>Dam digital twin (Jiangya dam, 131 m gravity dam) for automated continuous safety evaluation: extended IFC data schema (IfcDSMSystem/IfcMonitoringItem/IfcSensorAssembly) integrates DSM monitoring information (deformation, seepage, stress, environment); HST statistical models set baselines; multi-rule cloud-reasoning model evaluates monitoring points, multi-dimensional cloud model + improved CRITIC (no-human weights) aggregate to five-grade dam safety status. Case: continuous evaluation Jan–Sep 2019 → "basically normal". One-way monitoring→automated evaluation→human decisions (preventive maintenance); statistical models are regression fits, no self-improvement loop.</t>
  </si>
  <si>
    <t>Electrical equipment electrothermal DT; power</t>
  </si>
  <si>
    <t>AI-in-construction review; DT one of six techs</t>
  </si>
  <si>
    <t>DT monitoring of building machine jacking operation; ANN prediction</t>
  </si>
  <si>
    <t>Building process optimization framework based on BIM-DT (whole lifecycle: survey/design, construction preparation, construction, O&amp;M): integrates data management system + BIM modelling system + digital twin model with real-time feedback; in the empirical study the construction phase data management system is built and a BP neural network is used for construction fault diagnosis (avg 99% accuracy vs CNN 90.23%, SVM 89.19%, PSO 88.35%; 9 fault types incl. construction joints, grouting, pouring sequence). One-way monitoring→fault diagnosis/safety; framework is partly conceptual (stage integration with BIM-DT model not described in detail — acknowledged), no actuation and no learning loop.</t>
  </si>
  <si>
    <t>Multisensory + BIM-integrated digital twin for urban excavation safety (Tianjin U, Shandong case): physical excavator equipped with multi-sensors, 3D pose estimated via kinematic model + social spider algorithm (SSA) (bucket-tip error 24.61 mm, translation accuracy +4.0 cm); BIM of buried utilities + 3D excavator model form a dynamic virtual model mirroring the excavation; physical-virtual coupled DT enables real-time safety control - dynamic collision-risk assessment with 3D visual guidance and safety warning (pipe model turns red when bucket enters risk area, operator stops) to avoid pipe-collision accidents; system prototype field-tested in two case studies, 0.05 s sampling. One-way monitoring to guidance/warning to the human operator; no automated actuation and no learning loop.</t>
  </si>
  <si>
    <t>BIM+DT integration in mechanized tunnelling; rework reduction, lean</t>
  </si>
  <si>
    <t>An association rule mining model for the application of construction t…</t>
  </si>
  <si>
    <t>Digital twin and AI-driven smart adaptive walls for energy, comfort an…</t>
  </si>
  <si>
    <t>Enhancing attack resilience of cyber-physical systems through state de…</t>
  </si>
  <si>
    <t>IoT-Driven Resilience Monitoring: Case Study of a Cyber-Physical Syste…</t>
  </si>
  <si>
    <t>Virtual Fencing for Safety-Critical Cyber-Physical Systems: Computer-V…</t>
  </si>
  <si>
    <t>Lessons Learned from the Real-World Deployment of Multisensor Fusion f…</t>
  </si>
  <si>
    <t>TOWARDS NEXT GENERATION CYBER-PHYSICAL SYSTEMS AND DIGITAL TWINS FOR C…</t>
  </si>
  <si>
    <t>A methodological approach to hybrid AI systems for real-time infrastru…</t>
  </si>
  <si>
    <t>Neural network-based metamodel for scaffolding behavior: Application f…</t>
  </si>
  <si>
    <t>Enhancing resilience through environmental data integration in early c…</t>
  </si>
  <si>
    <t>Automation levels for nuclear reactor operations: A revised perspectiv…</t>
  </si>
  <si>
    <t>BIM-GIS integrated hydrodynamic modeling for road flood risk assessmen…</t>
  </si>
  <si>
    <t>Digital-Twin-Based Fire Safety Management Framework for Smart Building…</t>
  </si>
  <si>
    <t>GUIDE2FR: A smart monitoring platform with a digital twin of a firefig…</t>
  </si>
  <si>
    <t>Practical Application of Digital Twins for Transportation Asset Data M…</t>
  </si>
  <si>
    <t>State regulation of the IoT in the Russian Federation: Fundamentals an…</t>
  </si>
  <si>
    <t>The Role of Artificial Intelligence in Shaping Intelligent Motorways: …</t>
  </si>
  <si>
    <t>FingerCI: Writing industrial process specifications from network traff…</t>
  </si>
  <si>
    <t>Seeking a Definition of Digital Twins for Construction and Infrastruct…</t>
  </si>
  <si>
    <t>Proposal of a conceptual model of digital twins for construction sites</t>
  </si>
  <si>
    <t>Serverless 3D Reconstruction and Spatial Anchoring for Cloud-Native In…</t>
  </si>
  <si>
    <t>Integration of Railway Bridge Structural Health Monitoring into the In…</t>
  </si>
  <si>
    <t>Methodological framework for integrating structural health monitoring …</t>
  </si>
  <si>
    <t>Driving Factors for the Adoption of Digital Twin Technology Implementa…</t>
  </si>
  <si>
    <t>Excavator 3D pose estimation using deep learning and hybrid datasets</t>
  </si>
  <si>
    <t>Integrating Web-Based Weather Data into Building Information Modeling …</t>
  </si>
  <si>
    <t>Circular economy in construction: The digital transformation perspecti…</t>
  </si>
  <si>
    <t>Intelligent technologies for tunnel construction and maintenance: A st…</t>
  </si>
  <si>
    <t>Improving Organizational and Engineering Reliability during Dismantlin…</t>
  </si>
  <si>
    <t>The Process of Digitalization of the Urban Environment for the Develop…</t>
  </si>
  <si>
    <t>Construction and application of digital twin system for coal ports</t>
  </si>
  <si>
    <t>Incorporation of pre-existing longitudinal cracks in finite element an…</t>
  </si>
  <si>
    <t>The evolution of BIM work standards: current, best, and future practic…</t>
  </si>
  <si>
    <t>Railway condition information modelling in a BIM framework for mainten…</t>
  </si>
  <si>
    <t>Digital Twin conceptual framework for improving critical infrastructur…</t>
  </si>
  <si>
    <t>From BIM to Web3: A critical interpretive synthesis of present and eme…</t>
  </si>
  <si>
    <t>Affective computing in smart city spaces: Research on emotion recognit…</t>
  </si>
  <si>
    <t>TunnelSDF-FilterNet: A Domain-Aware Neural Framework for High-Fidelity…</t>
  </si>
  <si>
    <t>Methodology for 3D Management of University Faculties Using Integrated…</t>
  </si>
  <si>
    <t>Integration of BIM Tools for the Facility Management of Railway Bridge…</t>
  </si>
  <si>
    <t>Climate Change Impacts on Reinforced Concrete Structures: A Bibliometr…</t>
  </si>
  <si>
    <t>AI based surrogate model for digital twins in structural health monito…</t>
  </si>
  <si>
    <t>Integration of Emerging Technologies with Construction Practices in Au…</t>
  </si>
  <si>
    <t>Digital twinning of building construction processes. Case study: A rei…</t>
  </si>
  <si>
    <t>Risk Mitigation of a Heritage Bridge Using Noninvasive Sensors</t>
  </si>
  <si>
    <t>Autonomous dimensional inspection and issue tracking of rebar using se…</t>
  </si>
  <si>
    <t>A transformer-based surrogate modeling strategy for tunnel digital twi…</t>
  </si>
  <si>
    <t>Digital twin-based experimental method for construction loads of adjac…</t>
  </si>
  <si>
    <t>Digital Twin-Based and Knowledge Graph-Enhanced Emergency Response in …</t>
  </si>
  <si>
    <t>Digital Twin-Enabled Robust Parallel Control of Construction Engineeri…</t>
  </si>
  <si>
    <t>Construction and application of Digital Twin model of pipeline</t>
  </si>
  <si>
    <t>Monitoring Construction and System Development of Bridge Horizontal Ro…</t>
  </si>
  <si>
    <t>Multi-Modal Excavator Activity Recognition Using Two-Stream CNN-LSTM w…</t>
  </si>
  <si>
    <t>Guidance for Materials 4.0 to interact with a digital twin</t>
  </si>
  <si>
    <t>On-Site Safety Inspections Through Marker-Less Augmented Reality and B…</t>
  </si>
  <si>
    <t>Intelligent Transportation Systems Using Roadside Infrastructure: A Li…</t>
  </si>
  <si>
    <t>The role of the foundation flexibility on the seismic response of a mo…</t>
  </si>
  <si>
    <t>For how large soil shear wave velocity the soil-structure interaction …</t>
  </si>
  <si>
    <t>Online traffic load identification of high-speed railway bridge using …</t>
  </si>
  <si>
    <t>Digital Twin System of Bridges Group Based on Machine Vision Fusion Mo…</t>
  </si>
  <si>
    <t>Assessing the Suitability of Damage Indexes for Digital Twin Applicati…</t>
  </si>
  <si>
    <t>The role of the marine research infrastructures in the European marine…</t>
  </si>
  <si>
    <t>Enhancing Operational Resilience of Critical Infrastructure Processes …</t>
  </si>
  <si>
    <t>Interconnected digital twins of subway stations for decision support s…</t>
  </si>
  <si>
    <t>Structural Analysis of Construction Risk Management Assessment Model B…</t>
  </si>
  <si>
    <t>Real-time bridge disaster management: Enabling technology and applicat…</t>
  </si>
  <si>
    <t>Integrating LLMs and Digital Twins for Adaptive Multi-Robot Task Alloc…</t>
  </si>
  <si>
    <t>Application Benefit Analysis of Digital Twin Technology in Tunnel Cons…</t>
  </si>
  <si>
    <t>Smart building evacuation by tracking multi-camera network and explain…</t>
  </si>
  <si>
    <t>Digital twin system construction method for evaluating load carrying c…</t>
  </si>
  <si>
    <t>Stakeholder-informed renovation digital twin for multi-domain monitori…</t>
  </si>
  <si>
    <t>Digital twin-driven on-line monitoring method of metal selective laser…</t>
  </si>
  <si>
    <t>Digital Twins for Construction Assets Using BIM Standard Specification…</t>
  </si>
  <si>
    <t>Predictive digital monitoring of construction resources: an integrated…</t>
  </si>
  <si>
    <t>Exploring Data for Construction Digital Twins: Building Health and Saf…</t>
  </si>
  <si>
    <t>Seismic Failure Mechanism Shift in RC Buildings Revealed by NDT-Suppor…</t>
  </si>
  <si>
    <t>Intervention and management of construction workers' unsafe behavior: …</t>
  </si>
  <si>
    <t>A scientometric analysis of drone-based structural health monitoring a…</t>
  </si>
  <si>
    <t>Development of a BIM and IoT-Based Smart Lighting Maintenance System P…</t>
  </si>
  <si>
    <t>Machine learning for design and analysis of steel frame halls</t>
  </si>
  <si>
    <t>Maschinelles Lernen beim Entwurf und der Bemessung von Stahlrahmenhall…</t>
  </si>
  <si>
    <t>Preliminary architecture design for human-in-the-loop control of robot…</t>
  </si>
  <si>
    <t>Digital twins in bridge engineering for streamlined maintenance and en…</t>
  </si>
  <si>
    <t>Resilient ventilation network construction in complex underground mini…</t>
  </si>
  <si>
    <t>Digital twin-based vibration displacement sensing and recognition tech…</t>
  </si>
  <si>
    <t>Cooperative Localization in Transportation 5.0</t>
  </si>
  <si>
    <t>Bridge Digital Twin for Practical Bridge Operation and Maintenance by …</t>
  </si>
  <si>
    <t>Virtual and Augmented Reality Use Cases for Fusion Design Engineering</t>
  </si>
  <si>
    <t>Digital twin for smart coal mining workface: Technological frame and c…</t>
  </si>
  <si>
    <t>Construction of Autonomous Collaborative Resource Control System for E…</t>
  </si>
  <si>
    <t>Integrating multi-source data for life-cycle risk assessment of bridge…</t>
  </si>
  <si>
    <t>Federation of non-destructive testing data for bridge asset management</t>
  </si>
  <si>
    <t>Construction of damage-free digital twin of damaged aero-engine blades…</t>
  </si>
  <si>
    <t>The Conventional Construction Scenario and the Emergence of Advance Te…</t>
  </si>
  <si>
    <t>Digital twin driven airflow intelligent control system for the air out…</t>
  </si>
  <si>
    <t>Mixed Reality for Safe and Reliable Human-Robot Collaboration in Timbe…</t>
  </si>
  <si>
    <t>Protecting critical infrastructure against cascading effects: The PREC…</t>
  </si>
  <si>
    <t>Robotic devices for Structural Health Monitoring</t>
  </si>
  <si>
    <t>Data-Driven Condition Assessment and Life Cycle Analysis Methods for D…</t>
  </si>
  <si>
    <t>Dynamic train-bridge compatibility: the reference method as a new form…</t>
  </si>
  <si>
    <t>A Metaverse-Based Teaching Building Evacuation Training System With De…</t>
  </si>
  <si>
    <t>The Challenge of Machine Learning and Artificial Intelligence in the C…</t>
  </si>
  <si>
    <t>AN INTELLIGENT CONSTRUCTION SYSTEM BASED ON DIGITAL TWIN AND FOUNDATIO…</t>
  </si>
  <si>
    <t>Study on the Construction and Application of Digital Twins on High Vol…</t>
  </si>
  <si>
    <t>A methodology for sky-space-ground integrated remote sensing monitorin…</t>
  </si>
  <si>
    <t>Digital twin-enabled cooperative autonomous truck platooning framework…</t>
  </si>
  <si>
    <t>Exploring the Impact of Construction 4.0 on Industrial Relations: A Co…</t>
  </si>
  <si>
    <t>Participatory Sensing and Digital Twin City: Updating Virtual City Mod…</t>
  </si>
  <si>
    <t>Construction Path of Shanghai Oriental Hub Municipal Pipeline Full Cyc…</t>
  </si>
  <si>
    <t>Enhancing worker monitoring and management on large-scale construction…</t>
  </si>
  <si>
    <t>Digital twin-driven pose estimation and trajectory prediction for modu…</t>
  </si>
  <si>
    <t>A Method for Building a Mixed-Reality Digital Twin of a Roadheader Mon…</t>
  </si>
  <si>
    <t>A TOOL-BASED SYSTEM ARCHITECTURE FOR A DIGITAL TWIN: A CASE STUDY IN A…</t>
  </si>
  <si>
    <t>Augmented reality and digital twin system for interaction with constru…</t>
  </si>
  <si>
    <t>ANCHOR-Grid: Authenticating Smart Grid Digital Twins Using Real-World …</t>
  </si>
  <si>
    <t>Navigating the Future: Developing Smart Fairways for Enhanced Maritime…</t>
  </si>
  <si>
    <t>Toward intelligent tunnel construction: The universal discontinuity in…</t>
  </si>
  <si>
    <t>Exploring the Construction of a Composite Risk Prevention and Control …</t>
  </si>
  <si>
    <t>An Integrated Intelligent Approach for Monitoring and Management of a …</t>
  </si>
  <si>
    <t>Digital construction site layout planning and real-time trajectory ana…</t>
  </si>
  <si>
    <t>Advancing Smart Construction Management: A Comprehensive Analysis of D…</t>
  </si>
  <si>
    <t>Construction of Digital Twin System for Cold Chain Logistics Stereo Wa…</t>
  </si>
  <si>
    <t>Multi-dimensional framework for assessing digital twin maturity in con…</t>
  </si>
  <si>
    <t>Construction of a digital twin system for the blended-wing-body underw…</t>
  </si>
  <si>
    <t>Design verification and in-service performance evaluation model for hi…</t>
  </si>
  <si>
    <t>An intelligent BIM-enabled digital twin framework for real-time struct…</t>
  </si>
  <si>
    <t>Research on an intelligent monitoring system for the entire tunnel con…</t>
  </si>
  <si>
    <t>Parametric modeling and safety simulation of pit excavation affecting …</t>
  </si>
  <si>
    <t>Research and design of intelligent mine ventilation construction archi…</t>
  </si>
  <si>
    <t>Smart Monitoring System of Bridge Erecting Machine Operation Status In…</t>
  </si>
  <si>
    <t>A REVIEW OF DRIVERS AND BARRIERS OF DIGITAL TWIN ADOPTION IN BUILDING …</t>
  </si>
  <si>
    <t>Investigating the Applicability of Industry 4.0 Technologies in Road C…</t>
  </si>
  <si>
    <t>Building digital-twin virtual machining for milling chatter detection …</t>
  </si>
  <si>
    <t>Dynamic Cost Control of Construction Engineering Projects Using Multi-…</t>
  </si>
  <si>
    <t>Underpass clearance checking in highway widening projects using digita…</t>
  </si>
  <si>
    <t>Monitoring System for the Construction of Arch Cover Method Subway Sta…</t>
  </si>
  <si>
    <t>Building facility virtual inspection system design and implementation …</t>
  </si>
  <si>
    <t>Application of the multimodal model for predicting rock mechanical par…</t>
  </si>
  <si>
    <t>Intelligent control of building fire protection system using digital t…</t>
  </si>
  <si>
    <t>Digital twin driven intelligent assessment method for structural safet…</t>
  </si>
  <si>
    <t>Digital twin: Stability analysis for tower crane hoisting safety with …</t>
  </si>
  <si>
    <t>Early-warning of unsafe hoisting operations: An integration of digital…</t>
  </si>
  <si>
    <t>Enhancing Autonomous Vehicle Localization Through Cooperative LiDAR an…</t>
  </si>
  <si>
    <t>Intelligent Transition of Automotive Industry Driven by Autonomous Dri…</t>
  </si>
  <si>
    <t>Automated quantification of construction workers' exposure to falling …</t>
  </si>
  <si>
    <t>Knowledge graph exploitation to enhance the usability of risk assessme…</t>
  </si>
  <si>
    <t>The influence of information from digital buildings on fire service op…</t>
  </si>
  <si>
    <t>Mathematical Framework for Airport as Cognitive Digital Twin of Aviati…</t>
  </si>
  <si>
    <t>Constructing a Reliable Health Indicator for Bearings Using Convolutio…</t>
  </si>
  <si>
    <t>The overlooked frontier of AI in construction: conversational, documen…</t>
  </si>
  <si>
    <t>Station biophilia–assessing the perception of greenery on railway plat…</t>
  </si>
  <si>
    <t>AI-based risk assessment for construction site disaster preparedness t…</t>
  </si>
  <si>
    <t>Analyzing Safety Risk Imposed by Jobsite Debris to Nearby Built Enviro…</t>
  </si>
  <si>
    <t>Digital Twin-Enabled Incident Detection and Response: A Systematic Rev…</t>
  </si>
  <si>
    <t>Intelligent digital methods for extending the service life of the Nibe…</t>
  </si>
  <si>
    <t>Effective Underground Facilities Management in Virtual Reality by Appl…</t>
  </si>
  <si>
    <t>Generation and Verification of CFD-based ROM for Real-Time Thermal Flo…</t>
  </si>
  <si>
    <t>Reinforcement learning for control and optimization of real buildings:…</t>
  </si>
  <si>
    <t>A Digital Twin Framework Utilizing Machine Learning for Robust Predict…</t>
  </si>
  <si>
    <t>ADVANCING CIVIL INFRASTRUCTURE WITH DIGITAL TWINS: A REVIEW OF APPLICA…</t>
  </si>
  <si>
    <t>Digital Twin for Safety and Security: Perspectives on Building Lifecyc…</t>
  </si>
  <si>
    <t>Automation of shape quality control for precast concrete members using…</t>
  </si>
  <si>
    <t>Constructing a digital twin for estimating the response and load of a …</t>
  </si>
  <si>
    <t>Active gravity-aligned reference Axis for high-precision verticality a…</t>
  </si>
  <si>
    <t>Spatio-temporal heat risk analysis in construction: Digital twin-enabl…</t>
  </si>
  <si>
    <t>Advanced fire emergency management based on potential fire risk assess…</t>
  </si>
  <si>
    <t>Digital twin for natural gas infrastructure operation and management v…</t>
  </si>
  <si>
    <t>Digital twin of a building as the basis for the application of nanotec…</t>
  </si>
  <si>
    <t>Detection of Defects in Polyethylene and Polyamide Flat Panels Using A…</t>
  </si>
  <si>
    <t>A PLS-SEM based framework for enabling digital twin systems for real-t…</t>
  </si>
  <si>
    <t>A Study on the Prioritization and Combination Strategies of Smart Safe…</t>
  </si>
  <si>
    <t>State-of-Art review of resilience of bridges and bridge networks</t>
  </si>
  <si>
    <t>Automatic Object Detection in Radargrams of Multi-Antenna GPR Systems …</t>
  </si>
  <si>
    <t>Building a Lightweight Digital Twin of a Crane Boom for Structural Saf…</t>
  </si>
  <si>
    <t>Reconstruction of the road bridge on Monte Cassino Avenue in Koszalin</t>
  </si>
  <si>
    <t>Post-Earthquake Building Evaluation Using UAVs: A BIM-Based Digital Tw…</t>
  </si>
  <si>
    <t>Intelligent Monitoring Platform and Application for Building Energy Us…</t>
  </si>
  <si>
    <t>Applications of artificial intelligence in the AEC industry: a review …</t>
  </si>
  <si>
    <t>Automated generation and semantic segmentation of roof orthophoto for …</t>
  </si>
  <si>
    <t>Rapid integration strategy for oblique photogrammetry terrain and high…</t>
  </si>
  <si>
    <t>3D laser point cloud-based geometric digital twin for condition assess…</t>
  </si>
  <si>
    <t>Research on the Construction of a Digital Twin Model for a 3D Measurem…</t>
  </si>
  <si>
    <t>Digital twin-driven virtual sensor approach for safe construction oper…</t>
  </si>
  <si>
    <t>A Multi-Sensor Fusion Approach Combined with RandLA-Net for Large-Scal…</t>
  </si>
  <si>
    <t>Construction and application of CMF design service model for industria…</t>
  </si>
  <si>
    <t>Key Technologies for Health Management and Intelligent Operation and M…</t>
  </si>
  <si>
    <t>A lightweight and attention-enhanced framework for robust pavement def…</t>
  </si>
  <si>
    <t>Teaching robots to perform quasi-repetitive construction tasks through…</t>
  </si>
  <si>
    <t>Framework for Operational Resilience Management of Critical Infrastruc…</t>
  </si>
  <si>
    <t>Review on the Non-Destructive Test (NDT) Approaches on Concrete Crack …</t>
  </si>
  <si>
    <t>A deep feature fusion network based on multi-scale kernel construction…</t>
  </si>
  <si>
    <t>Creation and application of a geometric digital twin model for constru…</t>
  </si>
  <si>
    <t>Digital twin-enabled safety monitoring system for seamless worker-robo…</t>
  </si>
  <si>
    <t>Developing WSN/BIM-Based Environmental Monitoring Management System fo…</t>
  </si>
  <si>
    <t>Human-Robot collaboration in construction: Robot design, perception an…</t>
  </si>
  <si>
    <t>Multi-scale evolution mechanism and knowledge construction of a digita…</t>
  </si>
  <si>
    <t>Supply chain management for modular construction using building inform…</t>
  </si>
  <si>
    <t>Portal-Frame Piers to Spare Space for Two Piers of Jingkou Double-Trac…</t>
  </si>
  <si>
    <t>A digital twin-based framework for simulation and monitoring analysis …</t>
  </si>
  <si>
    <t>Immersive Technologies-Driven Building Information Modeling (BIM) in t…</t>
  </si>
  <si>
    <t>Digital Twin‐Based Risk Control during Prefabricated Building Hoisting…</t>
  </si>
  <si>
    <t>Digital twin-based safety risk coupling of prefabricated building hois…</t>
  </si>
  <si>
    <t>Intelligent tensioning method for prestressed cables based on digital …</t>
  </si>
  <si>
    <t>Digital twin modeling method for construction process of assembled bui…</t>
  </si>
  <si>
    <t>Digital Twins-Based Impact Response Prediction of Prestressed Steel St…</t>
  </si>
  <si>
    <t>A framework for an indoor safety management system based on digital tw…</t>
  </si>
  <si>
    <t>Guidance Method for Earthquake-damaged Building Reinforcement Integrat…</t>
  </si>
  <si>
    <t>Structural safety risk prediction method for terminal building steel r…</t>
  </si>
  <si>
    <t>Intelligent safety control modeling and construction process control o…</t>
  </si>
  <si>
    <t>Research progress and trends of intelligent technology construction in…</t>
  </si>
  <si>
    <t>Intelligent Analysis Method for Prestressed Steel Structure Constructi…</t>
  </si>
  <si>
    <t>Electrical Safety Enhanced With BIM, SCADA and Digital Twin Integratio…</t>
  </si>
  <si>
    <t>Developing an integrative framework for digital twin applications in t…</t>
  </si>
  <si>
    <t>Automatic Calibration of Structural Damage in Building Information Mod…</t>
  </si>
  <si>
    <t>Structural Health Assessment of a Reinforced Concrete Building in Valp…</t>
  </si>
  <si>
    <t>An open-source GIS app for digitalising bridge inspections and automat…</t>
  </si>
  <si>
    <t>Community Twin Ecosystem for Disaster Resilient Communities</t>
  </si>
  <si>
    <t>Applications and challenges of digital twin in intelligent constructio…</t>
  </si>
  <si>
    <t>Automating digitalization of engineered slopes to support interactive …</t>
  </si>
  <si>
    <t>Digital twins for secure thermal energy storage in building</t>
  </si>
  <si>
    <t>Digital Transformation in Early-Stage MEP Coordination: A Serious Gami…</t>
  </si>
  <si>
    <t>Tunnel performance prediction through degradation inspection and digit…</t>
  </si>
  <si>
    <t>Automated procedural modeling for tunnel inspection and digital twin d…</t>
  </si>
  <si>
    <t>Assessing the impact of Modbus/TCP protocol attacks on critical infras…</t>
  </si>
  <si>
    <t>The Internet of Things for Smart Roads: A Road Map From Present to Fut…</t>
  </si>
  <si>
    <t>A Systematic Survey of Digital Twin Applications: Transferring Knowled…</t>
  </si>
  <si>
    <t>BIM-Driven Safety: Automated Rule-Based Multihazard Detection and Lega…</t>
  </si>
  <si>
    <t>Roads Infrastructure Digital Twin: Advancing Situational Awareness Thr…</t>
  </si>
  <si>
    <t>Integrating Advanced Technologies for Environmental Valuation in Legac…</t>
  </si>
  <si>
    <t>A Hybrid Methodology to Assess Cyber Resilience of IoT in Energy Manag…</t>
  </si>
  <si>
    <t>Reliability Analysis of Micropile-Supported Deep Excavations Using Mul…</t>
  </si>
  <si>
    <t>Toward cognitive digital twins using a BIM-GIS asset management system…</t>
  </si>
  <si>
    <t>Organising digital twin in the built environment: a systematic review …</t>
  </si>
  <si>
    <t>Digital Twin Modelling Approach and Optimization Analysis for Safety i…</t>
  </si>
  <si>
    <t>SMAC-based cooperative hyperparameter optimization for occupational ri…</t>
  </si>
  <si>
    <t>Safety monitoring digital twin-based centralized model consolidation m…</t>
  </si>
  <si>
    <t>Environmental impacts of standard building renovations: City-level ext…</t>
  </si>
  <si>
    <t>Image-based acquisition and digital documentation of geometry and cond…</t>
  </si>
  <si>
    <t>A Comprehensive Framework for Integrating Extended Reality into Lifecy…</t>
  </si>
  <si>
    <t>When BIM Meets MBSE: Building a Semantic Bridge for Infrastructure Dat…</t>
  </si>
  <si>
    <t>Data-Driven Piecewise Bivariate Regression for Best-Estimate Natural P…</t>
  </si>
  <si>
    <t>Digital twin non-fungible token (DT-NFT): Enabling data ownership in t…</t>
  </si>
  <si>
    <t>Machine learning enhancement of manoeuvring prediction for ship Digita…</t>
  </si>
  <si>
    <t>Construction defects, envelope degradation and lifecycle carbon implic…</t>
  </si>
  <si>
    <t>Optimising the construction process through digitalisation: Case studi…</t>
  </si>
  <si>
    <t>Use of gaming technology to bring bridge inspection to the office</t>
  </si>
  <si>
    <t>Risk Assessment of Underground Utility Tunnel Projects in Q City Using…</t>
  </si>
  <si>
    <t>Diagnostic Systems and Complexes for Railways</t>
  </si>
  <si>
    <t>Digital twin platform for evaluating thermal bridging effects on aggre…</t>
  </si>
  <si>
    <t>A REVIEW OF THE APPLICATION OF ONTOLOGIES AND SEMANTIC WEB FOR BUILDIN…</t>
  </si>
  <si>
    <t>An Anomaly-Enhanced Digital Twin (AEDT) Model for Intelligent Inspecti…</t>
  </si>
  <si>
    <t>Enriching geometric digital twins of buildings with small objects by f…</t>
  </si>
  <si>
    <t>Unlocking the Potential of Digital Twins in Construction: A Systematic…</t>
  </si>
  <si>
    <t>Design and Implementation of a Smart IoT Based Building and Town Disas…</t>
  </si>
  <si>
    <t>Current Benefits of ASCE 75 and its Potential to Affect Digital As-Bui…</t>
  </si>
  <si>
    <t>Digital Twin development and implementation for the management of irri…</t>
  </si>
  <si>
    <t>ESTIMATING THE SERVICE LIFE OF CONCRETE REINFORCED WITH ADVANCED MATER…</t>
  </si>
  <si>
    <t>BIM and TLS Point Cloud Integration for Information Management of Unde…</t>
  </si>
  <si>
    <t>Designing a BIM-enhanced digital twin architecture for construction po…</t>
  </si>
  <si>
    <t>Optimizing construction site layouts with dynamic multi-objective meth…</t>
  </si>
  <si>
    <t>Risk assessment for modern industry</t>
  </si>
  <si>
    <t>DInSAR–SBAS satellite monitoring of infrastructures: how temperature a…</t>
  </si>
  <si>
    <t>DInSAR-SBAS satellite monitoring of infrastructures: how temperature a…</t>
  </si>
  <si>
    <t>Designing Digital Twin with IoT and AI in Warehouse to Support Optimiz…</t>
  </si>
  <si>
    <t>CONSTRUCTION OF A DIGITAL TWIN MODEL FOR A SYSTEM THAT MONITORS THE TE…</t>
  </si>
  <si>
    <t>Digital Twin Framework for Structural Health Monitoring of Transmissio…</t>
  </si>
  <si>
    <t>LiDAR-Simulated Multimodal and Self-Supervised Contrastive Digital Twi…</t>
  </si>
  <si>
    <t>Study and Design of Dike Engineering Safety Management System Based on…</t>
  </si>
  <si>
    <t>An IFC-based framework for semantic integration of BIM and mobile crow…</t>
  </si>
  <si>
    <t>Digitisation of as-built structures with AI</t>
  </si>
  <si>
    <t>Digital Twin Enabled Automated Pin Defect Detection System for Aviatio…</t>
  </si>
  <si>
    <t>AI for empowering the construction and development of university labor…</t>
  </si>
  <si>
    <t>Designing automated digital safety systems for building health monitor…</t>
  </si>
  <si>
    <t>Physics-informed computational framework for assessing the seismic beh…</t>
  </si>
  <si>
    <t>Internet of Things in construction: trends and adoption insights from …</t>
  </si>
  <si>
    <t>Well Construction Action Planning and Automation through Finite-Horizo…</t>
  </si>
  <si>
    <t>Digital Twins for Real-Time Scenario Analysis during Well Construction…</t>
  </si>
  <si>
    <t>Intelligent Action Planning for Well Construction Operations Demonstra…</t>
  </si>
  <si>
    <t>Digital Twins for Construction Projects—Developing a Risk Systematizat…</t>
  </si>
  <si>
    <t>Exploring the Adoption of Construction Technologies in Infrastructure …</t>
  </si>
  <si>
    <t>Investigating the Correlation and Synergy of Artificial Intelligence T…</t>
  </si>
  <si>
    <t>Stack-AttenLSTM: A surrogate deep learning model for sequential earthq…</t>
  </si>
  <si>
    <t>Defect-oriented supportive bridge inspection system featuring building…</t>
  </si>
  <si>
    <t>ITA − AITES tunnelling information modelling − A BIM approach for a su…</t>
  </si>
  <si>
    <t>ITA - AITES tunnelling information modelling - A BIM approach for a su…</t>
  </si>
  <si>
    <t>Structural Information Modeling</t>
  </si>
  <si>
    <t>Structural Information Modeling - the digital transformation of buildi…</t>
  </si>
  <si>
    <t>A BIM-Based Digital Twin Framework for Urban Roads: Integrating MMS an…</t>
  </si>
  <si>
    <t>Mapping the Evolution of 4D BIM in Construction Digitalisation: A Scie…</t>
  </si>
  <si>
    <t>Analyzing Research Trends in Smart Construction Safety: A Topic Modeli…</t>
  </si>
  <si>
    <t>Metrics development and modelling the mixed reality and digital twin a…</t>
  </si>
  <si>
    <t>BIM and Digital Twin for Developing Convergence Technologies as Future…</t>
  </si>
  <si>
    <t>Intelligent overall planning model of underground space based on digit…</t>
  </si>
  <si>
    <t>Digital Twin-Driven Stability Optimization Framework for Large Undergr…</t>
  </si>
  <si>
    <t>When Roads Go Underwater: AI-Enhanced Digital Twin-Driven Flood Resili…</t>
  </si>
  <si>
    <t>Reverse digital twin mapping of building envelope anomalies based on U…</t>
  </si>
  <si>
    <t>Developing a Comprehensive Diagnostics Technology for the Technical Co…</t>
  </si>
  <si>
    <t>The Research on the Construction Method of a Slope Digital Twin Model …</t>
  </si>
  <si>
    <t>Twinning simulation and model test for construction error assessment o…</t>
  </si>
  <si>
    <t>Leveraging emerging technologies to address the crisis of aging concre…</t>
  </si>
  <si>
    <t>A New Benchmark Model for the Automated Detection and Classification o…</t>
  </si>
  <si>
    <t>AI-assisted fibre optic sensing frameworks for automated monitoring of…</t>
  </si>
  <si>
    <t>Building a Cad-Native Digital Twin for Ndt and Plm: Workflow, Tools, a…</t>
  </si>
  <si>
    <t>Simultaneous Digital Twin: Chaining Climbing-Robot, Defect Segmentatio…</t>
  </si>
  <si>
    <t>Digital twin-assisted fault diagnosis system for robot joints with ins…</t>
  </si>
  <si>
    <t>Agentic system for construction safety risk assessments using large la…</t>
  </si>
  <si>
    <t>Automatic creation of personalised virtual construction safety trainin…</t>
  </si>
  <si>
    <t>Track Geometry Prediction Using Three-Dimensional Recurrent Neural Net…</t>
  </si>
  <si>
    <t>Enhancing Urban Heatwave Response Planning via a Graph-Based Digital T…</t>
  </si>
  <si>
    <t>Selected implications of a hyper-connected world on pavement engineeri…</t>
  </si>
  <si>
    <t>Development of a digital twin-driven bridge construction safety monito…</t>
  </si>
  <si>
    <t>Near Real-Time 3D Reconstruction of Construction Sites Based on Survei…</t>
  </si>
  <si>
    <t>Research on the construction of civil airport safety management system…</t>
  </si>
  <si>
    <t>Digital twin of advanced geological conditions in rock tunnel construc…</t>
  </si>
  <si>
    <t>An Enhanced Digital Twin-Driven Fault Diagnosis Approach Based on Deep…</t>
  </si>
  <si>
    <t>Intelligent Risk Prognosis and Control of Foundation Pit Excavation Ba…</t>
  </si>
  <si>
    <t>Data and Knowledge-Driven Bridge Digital Twin Modeling for Smart Opera…</t>
  </si>
  <si>
    <t>Human-in-the-Loop Digital Twin Modeling for Smart Civil Infrastructure…</t>
  </si>
  <si>
    <t>Data-driven progress prediction in construction: a multi-project portf…</t>
  </si>
  <si>
    <t>Sensor Acquisition and Allocation for Real-Time Monitoring of Articula…</t>
  </si>
  <si>
    <t>Artificial Intelligence-Powered Digital Twins for Sustainable and Resi…</t>
  </si>
  <si>
    <t>Review of Construction Automation and Robotics Practices in Indonesian…</t>
  </si>
  <si>
    <t>Integration and linking of inspection data in digital bridge models</t>
  </si>
  <si>
    <t>Relationship between Subcontracting Models and Adoption of Innovative …</t>
  </si>
  <si>
    <t>Defect Trigger Identification in a Construction Digital Twin Using Qua…</t>
  </si>
  <si>
    <t>Big data in the processes of ensuring the security of critical informa…</t>
  </si>
  <si>
    <t>Overall introduction to the framework of BIM-based digital twinning in…</t>
  </si>
  <si>
    <t>Building Digital Twins to Overcome Digitalization Barriers for Automat…</t>
  </si>
  <si>
    <t>A digital twin framework for civil engineering structures</t>
  </si>
  <si>
    <t>Physical digital twins for ancient stone masonry informed of original …</t>
  </si>
  <si>
    <t>Spatial Insights for Building Resilience: The Territorial Risk Managem…</t>
  </si>
  <si>
    <t>A scoping review of green Internet of Things in construction and smart…</t>
  </si>
  <si>
    <t>A framework to define, design and construct digital twins in the minin…</t>
  </si>
  <si>
    <t>Autonomy is not enough: why agentic AI in the built environment demand…</t>
  </si>
  <si>
    <t>Yara: An Ocean Virtual Environment for Research and Development of Aut…</t>
  </si>
  <si>
    <t>A Digital Twin-Driven System for Road Maintenance: Integrating UAVs an…</t>
  </si>
  <si>
    <t>Disaster Risk Assessment and Analysis of Physical Infrastructure: A Co…</t>
  </si>
  <si>
    <t>Key technology and engineering practice of intelligent rapid heading i…</t>
  </si>
  <si>
    <t>Development and validation of graphics-based digital twin framework fo…</t>
  </si>
  <si>
    <t>Mixed reality and machine learning-guided cable robot framework (MMCR)…</t>
  </si>
  <si>
    <t>Reference-free ego-motion compensation for vision-based measurement of…</t>
  </si>
  <si>
    <t>AI and Digital Twin for Consumer Electronics in Smart Cities</t>
  </si>
  <si>
    <t>Interactive and Immersive Process-Level Digital Twin for Collaborative…</t>
  </si>
  <si>
    <t>A digital twin integrated smart-liner for visualization monitoring of …</t>
  </si>
  <si>
    <t>Enabling Building Information Model-driven human-robot collaborative c…</t>
  </si>
  <si>
    <t>Detailed transient modeling and FPGA-based real-time digital-twin deve…</t>
  </si>
  <si>
    <t>Construction of digital twin and parallel intelligent control method f…</t>
  </si>
  <si>
    <t>Augmenting progress monitoring in soil-foundation construction utilizi…</t>
  </si>
  <si>
    <t>Design and System Development of Knowledge Graph and Process Planning …</t>
  </si>
  <si>
    <t>Research on the intelligent construction of prefabricated building bas…</t>
  </si>
  <si>
    <t>Research on Management Efficiency and Public Participation in Smart Ci…</t>
  </si>
  <si>
    <t>Using Eye-Tracking to Measure Worker Situation Awareness in Augmented …</t>
  </si>
  <si>
    <t>Real-time mixed reality-based visual warning for construction workforc…</t>
  </si>
  <si>
    <t>Knowledge-data driven digital twin platform: intelligent prediction an…</t>
  </si>
  <si>
    <t>Multisource information fusion for real-time prediction and multiobjec…</t>
  </si>
  <si>
    <t>A Novel Method for Tunnel Digital Twin Construction and Virtual-Real F…</t>
  </si>
  <si>
    <t>Research on Digital Twin Construction and Safety Management Applicatio…</t>
  </si>
  <si>
    <t>Real-time digital twin of autonomous ships based on virtual-physical m…</t>
  </si>
  <si>
    <t>Auto-constructed PID-based search algorithm for ship parameter identif…</t>
  </si>
  <si>
    <t>CommandFence: A Novel Digital-Twin-Based Preventive Framework for Secu…</t>
  </si>
  <si>
    <t>3D City Modeling on Infrastructure Construction Using Digital Twin</t>
  </si>
  <si>
    <t>AIoT-powered building digital twin for smart firefighting and super re…</t>
  </si>
  <si>
    <t>Research on the construction of 5G fully connected mining digital twin…</t>
  </si>
  <si>
    <t>Edge-cloud collaborative digital twin for vibration anomaly detection …</t>
  </si>
  <si>
    <t>Digital twin system for deepwater well construction: Enhancing operati…</t>
  </si>
  <si>
    <t>A digital twin framework for construction and operation of the radio a…</t>
  </si>
  <si>
    <t>Ensuring construction material provenance using Internet of Things and…</t>
  </si>
  <si>
    <t>Developing a digital twin model for monitoring building structural hea…</t>
  </si>
  <si>
    <t>Status and prospects of synergistic development between smart city inf…</t>
  </si>
  <si>
    <t>Geological Perception and Digital Twin of Rock and Machine for TBM Tun…</t>
  </si>
  <si>
    <t>Improvement of Construction Machinery Development Process by Digital T…</t>
  </si>
  <si>
    <t>Real-Time Digital Twin-Driven 3D Near-Miss Detection System at Constru…</t>
  </si>
  <si>
    <t>Digital twin-enabled 3D near-misses prediction method based on traject…</t>
  </si>
  <si>
    <t>A Big Data-driven Digital Twin Model Method for Building a Shop Floor</t>
  </si>
  <si>
    <t>Digital twin-based framework for multi-objective optimization of shiel…</t>
  </si>
  <si>
    <t>CAVTest: A Closed Connected and Automated Vehicles Test Field of Chang…</t>
  </si>
  <si>
    <t>Construction of digital twin model of lithium-ion battery for intellig…</t>
  </si>
  <si>
    <t>Design and Validation of a Real-Time Maintenance Monitoring System Usi…</t>
  </si>
  <si>
    <t>Current situation and development trend of intelligent unmanned autono…</t>
  </si>
  <si>
    <t>Related Literature Review 5D Model for Project and Operation/Maintenan…</t>
  </si>
  <si>
    <t>Metaverse for the Energy Industry: Technologies, Applications, and Sol…</t>
  </si>
  <si>
    <t>A digital twin approach for tunnel construction safety early warning a…</t>
  </si>
  <si>
    <t>Deep Tabular and Sequential Models for Robust SCADA Cybersecurity Usin…</t>
  </si>
  <si>
    <t>Topology guided fourier neural operator with decoupled geometric param…</t>
  </si>
  <si>
    <t>Earthwork digital twin for teleoperation of an automated bulldozer in …</t>
  </si>
  <si>
    <t>Intelligent Analysis of Construction Safety of Large Underground Space…</t>
  </si>
  <si>
    <t>Application of BIM technologies based on parametric modeling in the mi…</t>
  </si>
  <si>
    <t>Exploration and practice of the digital twin construction for producti…</t>
  </si>
  <si>
    <t>A dynamic digital twin-based health monitoring method for steel struct…</t>
  </si>
  <si>
    <t>Quantitative prediction method for safety of old building structures b…</t>
  </si>
  <si>
    <t>Digital twin modeling and performance inversion of modular fully assem…</t>
  </si>
  <si>
    <t>Joint detection PCD-based method for automatic construction of geometr…</t>
  </si>
  <si>
    <t>Three-Dimensional Stratigraphic Structure and Property Collaborative M…</t>
  </si>
  <si>
    <t>Digital Safety Navigation for Tower Crane Climbing Process from a Syst…</t>
  </si>
  <si>
    <t>Technology and implementation of safety monitoring system for power gr…</t>
  </si>
  <si>
    <t>Construction technology of prefabricated concrete frame with steel con…</t>
  </si>
  <si>
    <t>AI-empowered digital twin modeling for high-precision building defect …</t>
  </si>
  <si>
    <t>Digital Twins for Construction Sites: Concepts, LoD Definition, and Ap…</t>
  </si>
  <si>
    <t>Advanced informatic technologies for intelligent construction: A revie…</t>
  </si>
  <si>
    <t>Digital twin-enabled synchronous jacking control of an aerial building…</t>
  </si>
  <si>
    <t>Research on the Digital Twin System for Rotation Construction Monitori…</t>
  </si>
  <si>
    <t>A Fixed-Budget Study of Real–Synthetic Data Mixing for PPE Detection i…</t>
  </si>
  <si>
    <t>A Fixed-Budget Study of Real-Synthetic Data Mixing for PPE Detection i…</t>
  </si>
  <si>
    <t>From instance segmentation to physical quantification: High-resolution…</t>
  </si>
  <si>
    <t>Predictive diagnosis of hidden risk for urban lifeline infrastructures…</t>
  </si>
  <si>
    <t>A single-spindle monitoring system and its application for intelligent…</t>
  </si>
  <si>
    <t>Digital Twin Evaluation of Environment and Health of Public Toilet Ven…</t>
  </si>
  <si>
    <t>Digital twin-enabled anti-collision system for smart construction site…</t>
  </si>
  <si>
    <t>Digital twin-enabled simulation system for NATM tunnel construction pr…</t>
  </si>
  <si>
    <t>Automatic response prediction in a digital twin framework for regional…</t>
  </si>
  <si>
    <t>Simulation method of shield-machine empty push through station based o…</t>
  </si>
  <si>
    <t>An Established Theory of Digital Twin Model for Tunnel Construction Sa…</t>
  </si>
  <si>
    <t>Research on the Construction of Multimodal Large Models and Self-super…</t>
  </si>
  <si>
    <t>Digital Twin-Based Investigation of a Building Collapse Accident</t>
  </si>
  <si>
    <t>Research on Key Common Technologies in Intelligent Construction of Lon…</t>
  </si>
  <si>
    <t>The Modelling of Digital Twins Technology in the Construction Process …</t>
  </si>
  <si>
    <t>Intelligent Prediction of Prestressed Steel Structure Construction Saf…</t>
  </si>
  <si>
    <t>A knowledge foundation and prospect review on thermal response of brid…</t>
  </si>
  <si>
    <t>Enhancing dam safety evaluation using dam digital twins</t>
  </si>
  <si>
    <t>Fast electrothermal coupling calculation method for supporting digital…</t>
  </si>
  <si>
    <t>Artificial Intelligence in the Construction Industry: A Comprehensive …</t>
  </si>
  <si>
    <t>Digital Twin Construction Method for Monitoring Operation Status of Bu…</t>
  </si>
  <si>
    <t>Research on Building Process Optimization Framework Based on BIM-DT</t>
  </si>
  <si>
    <t>Multisensory and BIM-Integrated Digital Twin to Improve Urban Excavati…</t>
  </si>
  <si>
    <t>Integration of building information modelling and digital twin in mech…</t>
  </si>
  <si>
    <t>Deep-read: Methodology</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</si>
</sst>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3" x14ac:knownFonts="1">
    <font>
      <sz val="11"/>
      <color theme="1"/>
      <name val="Calibri"/>
      <family val="2"/>
      <charset val="1"/>
    </font>
    <font>
      <b/>
      <sz val="14"/>
      <color rgb="FF1F4E5F"/>
      <name val="Arial"/>
      <charset val="1"/>
    </font>
    <font>
      <i/>
      <sz val="10"/>
      <color rgb="FF595959"/>
      <name val="Arial"/>
      <charset val="1"/>
    </font>
    <font>
      <b/>
      <sz val="12"/>
      <color rgb="FF1F4E5F"/>
      <name val="Arial"/>
      <charset val="1"/>
    </font>
    <font>
      <b/>
      <sz val="10"/>
      <name val="Arial"/>
      <charset val="1"/>
    </font>
    <font>
      <sz val="10"/>
      <name val="Arial"/>
      <charset val="1"/>
    </font>
    <font>
      <b/>
      <sz val="9"/>
      <color rgb="FFFFFFFF"/>
      <name val="Arial"/>
      <charset val="1"/>
    </font>
    <font>
      <sz val="9"/>
      <name val="Arial"/>
      <charset val="1"/>
    </font>
    <font>
      <b/>
      <sz val="13"/>
      <color rgb="FF1F4E5F"/>
      <name val="Arial"/>
      <charset val="1"/>
    </font>
    <font>
      <sz val="11"/>
      <name val="Arial"/>
      <charset val="1"/>
    </font>
    <font>
      <b/>
      <sz val="11"/>
      <name val="Arial"/>
      <charset val="1"/>
    </font>
    <font>
      <sz val="9"/>
      <name val="宋体"/>
      <family val="3"/>
      <charset val="134"/>
    </font>
    <font>
      <b/>
      <sz val="9"/>
      <color rgb="FFFFFFFF"/>
      <name val="Arial"/>
      <family val="2"/>
    </font>
  </fonts>
  <fills count="8">
    <fill>
      <patternFill patternType="none"/>
    </fill>
    <fill>
      <patternFill patternType="gray125"/>
    </fill>
    <fill>
      <patternFill patternType="solid">
        <fgColor rgb="FF1F4E5F"/>
        <bgColor rgb="FF333333"/>
      </patternFill>
    </fill>
    <fill>
      <patternFill patternType="solid">
        <fgColor rgb="FFFFF7DB"/>
        <bgColor rgb="FFFFFFFF"/>
      </patternFill>
    </fill>
    <fill>
      <patternFill patternType="solid">
        <fgColor rgb="FFEAF1F4"/>
        <bgColor rgb="FFE7EEFC"/>
      </patternFill>
    </fill>
    <fill>
      <patternFill patternType="solid">
        <fgColor rgb="FFE7EEFC"/>
        <bgColor rgb="FFEAF1F4"/>
      </patternFill>
    </fill>
    <fill>
      <patternFill patternType="solid">
        <fgColor rgb="FFFCE4E4"/>
        <bgColor rgb="FFFFF7DB"/>
      </patternFill>
    </fill>
    <fill>
      <patternFill patternType="solid">
        <fgColor rgb="FFE3F0E1"/>
        <bgColor rgb="FFEAF1F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horizontal="left" vertical="top" wrapText="1"/>
    </xf>
    <xf numFmtId="0" fontId="5" fillId="0" borderId="0" xfId="0" applyFont="1" applyAlignment="1">
      <alignment horizontal="left" vertical="top" wrapText="1"/>
    </xf>
    <xf numFmtId="0" fontId="6" fillId="2" borderId="1" xfId="0" applyFont="1" applyFill="1" applyBorder="1" applyAlignment="1">
      <alignment horizontal="center" vertical="center" wrapText="1"/>
    </xf>
    <xf numFmtId="0" fontId="7" fillId="0" borderId="1" xfId="0" applyFont="1" applyBorder="1"/>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7" borderId="1" xfId="0" applyFont="1" applyFill="1" applyBorder="1" applyAlignment="1">
      <alignment horizontal="left" vertical="top" wrapText="1"/>
    </xf>
    <xf numFmtId="0" fontId="8" fillId="0" borderId="0" xfId="0" applyFont="1"/>
    <xf numFmtId="0" fontId="6" fillId="2" borderId="1" xfId="0" applyFont="1" applyFill="1" applyBorder="1"/>
    <xf numFmtId="0" fontId="5" fillId="0" borderId="1" xfId="0" applyFont="1" applyBorder="1"/>
    <xf numFmtId="0" fontId="9" fillId="0" borderId="1" xfId="0" applyFont="1" applyBorder="1" applyAlignment="1">
      <alignment horizontal="center" vertical="center" wrapText="1"/>
    </xf>
    <xf numFmtId="0" fontId="4" fillId="0" borderId="1" xfId="0" applyFont="1" applyBorder="1"/>
    <xf numFmtId="0" fontId="10" fillId="0" borderId="1" xfId="0" applyFont="1" applyBorder="1" applyAlignment="1">
      <alignment horizontal="center" vertical="center" wrapText="1"/>
    </xf>
    <xf numFmtId="0" fontId="4" fillId="7" borderId="1" xfId="0" applyFont="1" applyFill="1" applyBorder="1"/>
    <xf numFmtId="0" fontId="10" fillId="7" borderId="1" xfId="0" applyFont="1" applyFill="1" applyBorder="1" applyAlignment="1">
      <alignment horizontal="center" vertical="center" wrapText="1"/>
    </xf>
    <xf numFmtId="0" fontId="4" fillId="4" borderId="1" xfId="0" applyFont="1" applyFill="1" applyBorder="1"/>
    <xf numFmtId="0" fontId="10" fillId="4" borderId="1" xfId="0" applyFont="1" applyFill="1" applyBorder="1" applyAlignment="1">
      <alignment horizontal="center" vertical="center" wrapText="1"/>
    </xf>
    <xf numFmtId="0" fontId="4" fillId="0" borderId="0" xfId="0" applyFont="1"/>
    <xf numFmtId="0" fontId="10" fillId="7" borderId="0" xfId="0" applyFont="1" applyFill="1"/>
    <xf numFmtId="0" fontId="0" fillId="0" borderId="1" xfId="0" applyBorder="1" applyAlignment="1">
      <alignment horizontal="center" vertical="center" wrapText="1"/>
    </xf>
    <xf numFmtId="176" fontId="0" fillId="0" borderId="1" xfId="0" applyNumberFormat="1" applyBorder="1" applyAlignment="1">
      <alignment horizontal="center" vertical="center" wrapText="1"/>
    </xf>
    <xf numFmtId="0" fontId="7" fillId="0" borderId="1" xfId="0" applyFont="1" applyBorder="1" applyAlignment="1">
      <alignment horizontal="center" vertical="top" wrapText="1"/>
    </xf>
    <xf numFmtId="0" fontId="7" fillId="3"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7" fillId="6" borderId="1" xfId="0" applyFont="1" applyFill="1" applyBorder="1" applyAlignment="1">
      <alignment horizontal="center" vertical="top" wrapText="1"/>
    </xf>
    <xf numFmtId="0" fontId="7" fillId="7" borderId="1" xfId="0" applyFont="1" applyFill="1" applyBorder="1" applyAlignment="1">
      <alignment horizontal="center" vertical="top" wrapText="1"/>
    </xf>
    <xf numFmtId="1" fontId="7" fillId="0" borderId="1" xfId="0" applyNumberFormat="1" applyFont="1" applyBorder="1" applyAlignment="1">
      <alignment horizontal="center" vertical="top" wrapText="1"/>
    </xf>
    <xf numFmtId="0" fontId="12" fillId="2" borderId="1" xfId="0" applyFont="1" applyFill="1" applyBorder="1" applyAlignment="1">
      <alignment horizontal="center" vertical="center" wrapText="1"/>
    </xf>
  </cellXfs>
  <cellStyles count="1">
    <cellStyle name="常规"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DB"/>
      <rgbColor rgb="FFE7EEF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AF1F4"/>
      <rgbColor rgb="FFE3F0E1"/>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4E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6"/>
  <sheetViews>
    <sheetView showGridLines="0" zoomScaleNormal="100" workbookViewId="0"/>
  </sheetViews>
  <sheetFormatPr defaultColWidth="8.6640625" defaultRowHeight="14.4" x14ac:dyDescent="0.3"/>
  <cols>
    <col min="1" max="1" width="3" customWidth="1"/>
    <col min="2" max="2" width="32" customWidth="1"/>
    <col min="3" max="3" width="98" customWidth="1"/>
  </cols>
  <sheetData>
    <row r="2" spans="2:3" ht="17.399999999999999" x14ac:dyDescent="0.3">
      <c r="B2" s="1" t="s">
        <v>0</v>
      </c>
    </row>
    <row r="3" spans="2:3" x14ac:dyDescent="0.3">
      <c r="B3" s="2" t="s">
        <v>1</v>
      </c>
    </row>
    <row r="5" spans="2:3" ht="15.6" x14ac:dyDescent="0.3">
      <c r="B5" s="3" t="s">
        <v>2</v>
      </c>
    </row>
    <row r="6" spans="2:3" ht="26.4" x14ac:dyDescent="0.3">
      <c r="B6" s="4" t="s">
        <v>3</v>
      </c>
      <c r="C6" s="5" t="s">
        <v>4</v>
      </c>
    </row>
    <row r="7" spans="2:3" ht="39.6" x14ac:dyDescent="0.3">
      <c r="B7" s="4" t="s">
        <v>5</v>
      </c>
      <c r="C7" s="5" t="s">
        <v>6</v>
      </c>
    </row>
    <row r="8" spans="2:3" ht="39.6" x14ac:dyDescent="0.3">
      <c r="B8" s="4" t="s">
        <v>7</v>
      </c>
      <c r="C8" s="5" t="s">
        <v>8</v>
      </c>
    </row>
    <row r="9" spans="2:3" ht="26.4" x14ac:dyDescent="0.3">
      <c r="B9" s="4" t="s">
        <v>9</v>
      </c>
      <c r="C9" s="5" t="s">
        <v>10</v>
      </c>
    </row>
    <row r="10" spans="2:3" x14ac:dyDescent="0.3">
      <c r="B10" s="4" t="s">
        <v>11</v>
      </c>
      <c r="C10" s="5" t="s">
        <v>12</v>
      </c>
    </row>
    <row r="11" spans="2:3" ht="26.4" x14ac:dyDescent="0.3">
      <c r="B11" s="4" t="s">
        <v>13</v>
      </c>
      <c r="C11" s="5" t="s">
        <v>14</v>
      </c>
    </row>
    <row r="12" spans="2:3" ht="26.4" x14ac:dyDescent="0.3">
      <c r="B12" s="4" t="s">
        <v>15</v>
      </c>
      <c r="C12" s="5" t="s">
        <v>16</v>
      </c>
    </row>
    <row r="13" spans="2:3" ht="26.4" x14ac:dyDescent="0.3">
      <c r="B13" s="4" t="s">
        <v>17</v>
      </c>
      <c r="C13" s="5" t="s">
        <v>18</v>
      </c>
    </row>
    <row r="14" spans="2:3" ht="26.4" x14ac:dyDescent="0.3">
      <c r="B14" s="4" t="s">
        <v>19</v>
      </c>
      <c r="C14" s="5" t="s">
        <v>20</v>
      </c>
    </row>
    <row r="15" spans="2:3" ht="26.4" x14ac:dyDescent="0.3">
      <c r="B15" s="4" t="s">
        <v>21</v>
      </c>
      <c r="C15" s="5" t="s">
        <v>22</v>
      </c>
    </row>
    <row r="17" spans="2:3" ht="15.6" x14ac:dyDescent="0.3">
      <c r="B17" s="3" t="s">
        <v>23</v>
      </c>
    </row>
    <row r="18" spans="2:3" ht="26.4" x14ac:dyDescent="0.3">
      <c r="B18" s="4" t="s">
        <v>24</v>
      </c>
      <c r="C18" s="5" t="s">
        <v>25</v>
      </c>
    </row>
    <row r="19" spans="2:3" x14ac:dyDescent="0.3">
      <c r="B19" s="4" t="s">
        <v>26</v>
      </c>
      <c r="C19" s="5" t="s">
        <v>27</v>
      </c>
    </row>
    <row r="20" spans="2:3" ht="39.6" x14ac:dyDescent="0.3">
      <c r="B20" s="4" t="s">
        <v>28</v>
      </c>
      <c r="C20" s="5" t="s">
        <v>29</v>
      </c>
    </row>
    <row r="21" spans="2:3" ht="26.4" x14ac:dyDescent="0.3">
      <c r="B21" s="4" t="s">
        <v>30</v>
      </c>
      <c r="C21" s="5" t="s">
        <v>31</v>
      </c>
    </row>
    <row r="22" spans="2:3" ht="26.4" x14ac:dyDescent="0.3">
      <c r="B22" s="4" t="s">
        <v>32</v>
      </c>
      <c r="C22" s="5" t="s">
        <v>33</v>
      </c>
    </row>
    <row r="24" spans="2:3" ht="15.6" x14ac:dyDescent="0.3">
      <c r="B24" s="3" t="s">
        <v>34</v>
      </c>
    </row>
    <row r="25" spans="2:3" ht="26.4" x14ac:dyDescent="0.3">
      <c r="B25" s="4" t="s">
        <v>35</v>
      </c>
      <c r="C25" s="5" t="s">
        <v>36</v>
      </c>
    </row>
    <row r="26" spans="2:3" ht="26.4" x14ac:dyDescent="0.3">
      <c r="B26" s="4" t="s">
        <v>37</v>
      </c>
      <c r="C26" s="5" t="s">
        <v>38</v>
      </c>
    </row>
  </sheetData>
  <phoneticPr fontId="11"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showGridLines="0" tabSelected="1" zoomScaleNormal="100" workbookViewId="0">
      <selection activeCell="E13" sqref="E13"/>
    </sheetView>
  </sheetViews>
  <sheetFormatPr defaultColWidth="8.6640625" defaultRowHeight="14.4" x14ac:dyDescent="0.3"/>
  <cols>
    <col min="1" max="1" width="6" customWidth="1"/>
    <col min="2" max="2" width="20" customWidth="1"/>
    <col min="3" max="3" width="6" customWidth="1"/>
    <col min="4" max="4" width="56" customWidth="1"/>
    <col min="5" max="5" width="27" customWidth="1"/>
    <col min="6" max="6" width="28" customWidth="1"/>
    <col min="7" max="7" width="46" customWidth="1"/>
    <col min="8" max="8" width="33" customWidth="1"/>
    <col min="9" max="9" width="41" customWidth="1"/>
    <col min="10" max="10" width="42" customWidth="1"/>
  </cols>
  <sheetData>
    <row r="1" spans="1:10" x14ac:dyDescent="0.3">
      <c r="A1" s="6" t="s">
        <v>39</v>
      </c>
      <c r="B1" s="6" t="s">
        <v>40</v>
      </c>
      <c r="C1" s="6" t="s">
        <v>41</v>
      </c>
      <c r="D1" s="6" t="s">
        <v>42</v>
      </c>
      <c r="E1" s="6" t="s">
        <v>43</v>
      </c>
      <c r="F1" s="6" t="s">
        <v>44</v>
      </c>
      <c r="G1" s="6" t="s">
        <v>45</v>
      </c>
      <c r="H1" s="6" t="s">
        <v>46</v>
      </c>
      <c r="I1" s="6" t="s">
        <v>47</v>
      </c>
      <c r="J1" s="6" t="s">
        <v>48</v>
      </c>
    </row>
    <row r="2" spans="1:10" x14ac:dyDescent="0.3">
      <c r="A2" s="7" t="s">
        <v>49</v>
      </c>
      <c r="B2" s="7" t="s">
        <v>50</v>
      </c>
      <c r="C2" s="7" t="s">
        <v>51</v>
      </c>
      <c r="D2" s="7" t="s">
        <v>52</v>
      </c>
      <c r="E2" s="7" t="s">
        <v>9</v>
      </c>
      <c r="F2" s="7" t="s">
        <v>53</v>
      </c>
      <c r="G2" s="7" t="s">
        <v>54</v>
      </c>
      <c r="H2" s="7" t="s">
        <v>55</v>
      </c>
      <c r="I2" s="7" t="s">
        <v>56</v>
      </c>
      <c r="J2" s="7" t="s">
        <v>57</v>
      </c>
    </row>
    <row r="3" spans="1:10" x14ac:dyDescent="0.3">
      <c r="A3" s="7" t="s">
        <v>58</v>
      </c>
      <c r="B3" s="7" t="s">
        <v>59</v>
      </c>
      <c r="C3" s="7" t="s">
        <v>60</v>
      </c>
      <c r="D3" s="7" t="s">
        <v>61</v>
      </c>
      <c r="E3" s="7" t="s">
        <v>11</v>
      </c>
      <c r="F3" s="7" t="s">
        <v>62</v>
      </c>
      <c r="G3" s="7" t="s">
        <v>63</v>
      </c>
      <c r="H3" s="7" t="s">
        <v>64</v>
      </c>
      <c r="I3" s="7" t="s">
        <v>65</v>
      </c>
      <c r="J3" s="7" t="s">
        <v>66</v>
      </c>
    </row>
    <row r="4" spans="1:10" x14ac:dyDescent="0.3">
      <c r="B4" s="7" t="s">
        <v>67</v>
      </c>
      <c r="D4" s="7" t="s">
        <v>68</v>
      </c>
      <c r="E4" s="7" t="s">
        <v>69</v>
      </c>
      <c r="F4" s="7" t="s">
        <v>70</v>
      </c>
      <c r="G4" s="7" t="s">
        <v>71</v>
      </c>
      <c r="I4" s="7" t="s">
        <v>72</v>
      </c>
      <c r="J4" s="7" t="s">
        <v>73</v>
      </c>
    </row>
    <row r="5" spans="1:10" x14ac:dyDescent="0.3">
      <c r="B5" s="7" t="s">
        <v>74</v>
      </c>
      <c r="D5" s="7" t="s">
        <v>75</v>
      </c>
      <c r="E5" s="7" t="s">
        <v>76</v>
      </c>
      <c r="F5" s="7" t="s">
        <v>77</v>
      </c>
      <c r="G5" s="7" t="s">
        <v>78</v>
      </c>
      <c r="I5" s="7" t="s">
        <v>79</v>
      </c>
      <c r="J5" s="7" t="s">
        <v>80</v>
      </c>
    </row>
    <row r="6" spans="1:10" x14ac:dyDescent="0.3">
      <c r="B6" s="7" t="s">
        <v>81</v>
      </c>
      <c r="D6" s="7" t="s">
        <v>82</v>
      </c>
      <c r="G6" s="7" t="s">
        <v>83</v>
      </c>
      <c r="J6" s="7" t="s">
        <v>84</v>
      </c>
    </row>
    <row r="7" spans="1:10" x14ac:dyDescent="0.3">
      <c r="G7" s="7" t="s">
        <v>85</v>
      </c>
      <c r="J7" s="7" t="s">
        <v>86</v>
      </c>
    </row>
    <row r="8" spans="1:10" x14ac:dyDescent="0.3">
      <c r="G8" s="7" t="s">
        <v>87</v>
      </c>
      <c r="J8" s="7" t="s">
        <v>76</v>
      </c>
    </row>
    <row r="9" spans="1:10" x14ac:dyDescent="0.3">
      <c r="G9" s="7" t="s">
        <v>88</v>
      </c>
    </row>
    <row r="10" spans="1:10" x14ac:dyDescent="0.3">
      <c r="G10" s="7" t="s">
        <v>89</v>
      </c>
    </row>
    <row r="11" spans="1:10" x14ac:dyDescent="0.3">
      <c r="G11" s="7" t="s">
        <v>90</v>
      </c>
    </row>
    <row r="12" spans="1:10" x14ac:dyDescent="0.3">
      <c r="G12" s="7" t="s">
        <v>91</v>
      </c>
    </row>
    <row r="13" spans="1:10" x14ac:dyDescent="0.3">
      <c r="G13" s="7" t="s">
        <v>92</v>
      </c>
    </row>
  </sheetData>
  <phoneticPr fontId="11"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451"/>
  <sheetViews>
    <sheetView showGridLines="0" zoomScaleNormal="100" workbookViewId="0">
      <pane xSplit="6" ySplit="1" topLeftCell="AE280" activePane="bottomRight" state="frozen"/>
      <selection pane="topRight" activeCell="G1" sqref="G1"/>
      <selection pane="bottomLeft" activeCell="A2" sqref="A2"/>
      <selection pane="bottomRight" activeCell="AG1" sqref="AG1"/>
    </sheetView>
  </sheetViews>
  <sheetFormatPr defaultColWidth="8.6640625" defaultRowHeight="14.4" x14ac:dyDescent="0.3"/>
  <cols>
    <col min="1" max="1" width="7" customWidth="1"/>
    <col min="2" max="2" width="24.109375" customWidth="1"/>
    <col min="3" max="3" width="7" customWidth="1"/>
    <col min="4" max="4" width="20" customWidth="1"/>
    <col min="5" max="5" width="48.109375" customWidth="1"/>
    <col min="6" max="6" width="16" customWidth="1"/>
    <col min="7" max="7" width="13" customWidth="1"/>
    <col min="8" max="8" width="14" customWidth="1"/>
    <col min="9" max="9" width="15" customWidth="1"/>
    <col min="10" max="10" width="13" customWidth="1"/>
    <col min="11" max="12" width="11" customWidth="1"/>
    <col min="13" max="13" width="24" customWidth="1"/>
    <col min="14" max="14" width="13" customWidth="1"/>
    <col min="15" max="15" width="12" customWidth="1"/>
    <col min="16" max="17" width="13" customWidth="1"/>
    <col min="18" max="18" width="12" customWidth="1"/>
    <col min="19" max="19" width="11" customWidth="1"/>
    <col min="20" max="20" width="24" customWidth="1"/>
    <col min="21" max="21" width="22" customWidth="1"/>
    <col min="22" max="24" width="8" customWidth="1"/>
    <col min="25" max="25" width="11" customWidth="1"/>
    <col min="26" max="27" width="20" customWidth="1"/>
    <col min="28" max="28" width="26" customWidth="1"/>
    <col min="29" max="29" width="18" customWidth="1"/>
    <col min="30" max="30" width="22" customWidth="1"/>
    <col min="31" max="31" width="15.5546875" customWidth="1"/>
    <col min="32" max="32" width="24" customWidth="1"/>
    <col min="33" max="33" width="59.21875" customWidth="1"/>
  </cols>
  <sheetData>
    <row r="1" spans="1:33" ht="57.75" customHeight="1" x14ac:dyDescent="0.3">
      <c r="A1" s="6" t="s">
        <v>93</v>
      </c>
      <c r="B1" s="6" t="s">
        <v>94</v>
      </c>
      <c r="C1" s="6" t="s">
        <v>95</v>
      </c>
      <c r="D1" s="6" t="s">
        <v>96</v>
      </c>
      <c r="E1" s="6" t="s">
        <v>97</v>
      </c>
      <c r="F1" s="6" t="s">
        <v>98</v>
      </c>
      <c r="G1" s="6" t="s">
        <v>99</v>
      </c>
      <c r="H1" s="6" t="s">
        <v>100</v>
      </c>
      <c r="I1" s="6" t="s">
        <v>101</v>
      </c>
      <c r="J1" s="6" t="s">
        <v>102</v>
      </c>
      <c r="K1" s="6" t="s">
        <v>103</v>
      </c>
      <c r="L1" s="6" t="s">
        <v>104</v>
      </c>
      <c r="M1" s="6" t="s">
        <v>105</v>
      </c>
      <c r="N1" s="6" t="s">
        <v>106</v>
      </c>
      <c r="O1" s="6" t="s">
        <v>107</v>
      </c>
      <c r="P1" s="6" t="s">
        <v>108</v>
      </c>
      <c r="Q1" s="6" t="s">
        <v>109</v>
      </c>
      <c r="R1" s="6" t="s">
        <v>110</v>
      </c>
      <c r="S1" s="6" t="s">
        <v>111</v>
      </c>
      <c r="T1" s="6" t="s">
        <v>112</v>
      </c>
      <c r="U1" s="6" t="s">
        <v>113</v>
      </c>
      <c r="V1" s="6" t="s">
        <v>114</v>
      </c>
      <c r="W1" s="6" t="s">
        <v>115</v>
      </c>
      <c r="X1" s="6" t="s">
        <v>116</v>
      </c>
      <c r="Y1" s="6" t="s">
        <v>117</v>
      </c>
      <c r="Z1" s="6" t="s">
        <v>118</v>
      </c>
      <c r="AA1" s="6" t="s">
        <v>119</v>
      </c>
      <c r="AB1" s="37" t="s">
        <v>1162</v>
      </c>
      <c r="AC1" s="6" t="s">
        <v>120</v>
      </c>
      <c r="AD1" s="6" t="s">
        <v>121</v>
      </c>
      <c r="AE1" s="6" t="s">
        <v>122</v>
      </c>
      <c r="AF1" s="6" t="s">
        <v>123</v>
      </c>
      <c r="AG1" s="6" t="s">
        <v>124</v>
      </c>
    </row>
    <row r="2" spans="1:33" ht="22.8" x14ac:dyDescent="0.3">
      <c r="A2" s="30">
        <v>3566</v>
      </c>
      <c r="B2" s="9"/>
      <c r="C2" s="36"/>
      <c r="D2" s="9"/>
      <c r="E2" s="9" t="s">
        <v>737</v>
      </c>
      <c r="F2" s="30" t="s">
        <v>314</v>
      </c>
      <c r="G2" s="31" t="s">
        <v>316</v>
      </c>
      <c r="H2" s="31" t="s">
        <v>317</v>
      </c>
      <c r="I2" s="31" t="s">
        <v>317</v>
      </c>
      <c r="J2" s="31" t="s">
        <v>316</v>
      </c>
      <c r="K2" s="31" t="s">
        <v>316</v>
      </c>
      <c r="L2" s="32" t="str">
        <f t="shared" ref="L2:L65" si="0">IF(COUNTBLANK(G2:K2)=5,"",IF(COUNTIF(G2:K2,"No")&gt;0,"EXCLUDE","INCLUDE"))</f>
        <v>EXCLUDE</v>
      </c>
      <c r="M2" s="32" t="str">
        <f t="shared" ref="M2:M65" si="1">IF(L2&lt;&gt;"EXCLUDE","",IF(G2="No","Wrong domain (non-AECO)",IF(H2="No","Digital Twin not core / buzzword",IF(I2="No","No Design for Safety/Quality/PtD",IF(J2="No","Wrong publication type",IF(K2="No","Non-English",""))))))</f>
        <v>Digital Twin not core / buzzword</v>
      </c>
      <c r="N2" s="33"/>
      <c r="O2" s="33"/>
      <c r="P2" s="34"/>
      <c r="Q2" s="34"/>
      <c r="R2" s="34"/>
      <c r="S2" s="32" t="str">
        <f t="shared" ref="S2:S65" si="2">IF(N2&lt;&gt;"Yes","",IF(COUNTBLANK(P2:R2)=3,"",IF(COUNTIF(P2:R2,"No")&gt;0,"EXCLUDE","INCLUDE")))</f>
        <v/>
      </c>
      <c r="T2" s="32" t="str">
        <f t="shared" ref="T2:T65" si="3">IF(S2&lt;&gt;"EXCLUDE","",IF(P2="No","Digital Twin mentioned only, not the subject",IF(Q2="No","No Design for Safety/Quality in full text",IF(R2="No","Methodology not codable",""))))</f>
        <v/>
      </c>
      <c r="U2" s="35"/>
      <c r="V2" s="35"/>
      <c r="W2" s="35"/>
      <c r="X2" s="35"/>
      <c r="Y2" s="32" t="str">
        <f t="shared" ref="Y2:Y65" si="4">IF(SUM(V2:X2)=0,"",IF(SUM(V2:X2)&gt;=2,"Multi","Single"))</f>
        <v/>
      </c>
      <c r="Z2" s="35"/>
      <c r="AA2" s="35"/>
      <c r="AB2" s="35"/>
      <c r="AC2" s="35"/>
      <c r="AD2" s="35"/>
      <c r="AE2" s="35"/>
      <c r="AF2" s="35"/>
      <c r="AG2" s="15" t="s">
        <v>318</v>
      </c>
    </row>
    <row r="3" spans="1:33" ht="22.8" x14ac:dyDescent="0.3">
      <c r="A3" s="30">
        <v>3741</v>
      </c>
      <c r="B3" s="9"/>
      <c r="C3" s="36"/>
      <c r="D3" s="9"/>
      <c r="E3" s="9" t="s">
        <v>738</v>
      </c>
      <c r="F3" s="30" t="s">
        <v>314</v>
      </c>
      <c r="G3" s="31" t="s">
        <v>316</v>
      </c>
      <c r="H3" s="31" t="s">
        <v>316</v>
      </c>
      <c r="I3" s="31" t="s">
        <v>317</v>
      </c>
      <c r="J3" s="31" t="s">
        <v>316</v>
      </c>
      <c r="K3" s="31" t="s">
        <v>316</v>
      </c>
      <c r="L3" s="32" t="str">
        <f t="shared" si="0"/>
        <v>EXCLUDE</v>
      </c>
      <c r="M3" s="32" t="str">
        <f t="shared" si="1"/>
        <v>No Design for Safety/Quality/PtD</v>
      </c>
      <c r="N3" s="33"/>
      <c r="O3" s="33"/>
      <c r="P3" s="34"/>
      <c r="Q3" s="34"/>
      <c r="R3" s="34"/>
      <c r="S3" s="32" t="str">
        <f t="shared" si="2"/>
        <v/>
      </c>
      <c r="T3" s="32" t="str">
        <f t="shared" si="3"/>
        <v/>
      </c>
      <c r="U3" s="35"/>
      <c r="V3" s="35"/>
      <c r="W3" s="35"/>
      <c r="X3" s="35"/>
      <c r="Y3" s="32" t="str">
        <f t="shared" si="4"/>
        <v/>
      </c>
      <c r="Z3" s="35"/>
      <c r="AA3" s="35"/>
      <c r="AB3" s="35"/>
      <c r="AC3" s="35"/>
      <c r="AD3" s="35"/>
      <c r="AE3" s="35"/>
      <c r="AF3" s="35"/>
      <c r="AG3" s="15" t="s">
        <v>319</v>
      </c>
    </row>
    <row r="4" spans="1:33" ht="22.8" x14ac:dyDescent="0.3">
      <c r="A4" s="30">
        <v>3665</v>
      </c>
      <c r="B4" s="9"/>
      <c r="C4" s="36"/>
      <c r="D4" s="9"/>
      <c r="E4" s="9" t="s">
        <v>739</v>
      </c>
      <c r="F4" s="30" t="s">
        <v>314</v>
      </c>
      <c r="G4" s="31" t="s">
        <v>317</v>
      </c>
      <c r="H4" s="31" t="s">
        <v>317</v>
      </c>
      <c r="I4" s="31" t="s">
        <v>317</v>
      </c>
      <c r="J4" s="31" t="s">
        <v>316</v>
      </c>
      <c r="K4" s="31" t="s">
        <v>316</v>
      </c>
      <c r="L4" s="32" t="str">
        <f t="shared" si="0"/>
        <v>EXCLUDE</v>
      </c>
      <c r="M4" s="32" t="str">
        <f t="shared" si="1"/>
        <v>Wrong domain (non-AECO)</v>
      </c>
      <c r="N4" s="33"/>
      <c r="O4" s="33"/>
      <c r="P4" s="34"/>
      <c r="Q4" s="34"/>
      <c r="R4" s="34"/>
      <c r="S4" s="32" t="str">
        <f t="shared" si="2"/>
        <v/>
      </c>
      <c r="T4" s="32" t="str">
        <f t="shared" si="3"/>
        <v/>
      </c>
      <c r="U4" s="35"/>
      <c r="V4" s="35"/>
      <c r="W4" s="35"/>
      <c r="X4" s="35"/>
      <c r="Y4" s="32" t="str">
        <f t="shared" si="4"/>
        <v/>
      </c>
      <c r="Z4" s="35"/>
      <c r="AA4" s="35"/>
      <c r="AB4" s="35"/>
      <c r="AC4" s="35"/>
      <c r="AD4" s="35"/>
      <c r="AE4" s="35"/>
      <c r="AF4" s="35"/>
      <c r="AG4" s="15" t="s">
        <v>320</v>
      </c>
    </row>
    <row r="5" spans="1:33" ht="22.8" x14ac:dyDescent="0.3">
      <c r="A5" s="30">
        <v>3657</v>
      </c>
      <c r="B5" s="9"/>
      <c r="C5" s="36"/>
      <c r="D5" s="9"/>
      <c r="E5" s="9" t="s">
        <v>740</v>
      </c>
      <c r="F5" s="30" t="s">
        <v>314</v>
      </c>
      <c r="G5" s="31" t="s">
        <v>317</v>
      </c>
      <c r="H5" s="31" t="s">
        <v>316</v>
      </c>
      <c r="I5" s="31" t="s">
        <v>317</v>
      </c>
      <c r="J5" s="31" t="s">
        <v>316</v>
      </c>
      <c r="K5" s="31" t="s">
        <v>316</v>
      </c>
      <c r="L5" s="32" t="str">
        <f t="shared" si="0"/>
        <v>EXCLUDE</v>
      </c>
      <c r="M5" s="32" t="str">
        <f t="shared" si="1"/>
        <v>Wrong domain (non-AECO)</v>
      </c>
      <c r="N5" s="33"/>
      <c r="O5" s="33"/>
      <c r="P5" s="34"/>
      <c r="Q5" s="34"/>
      <c r="R5" s="34"/>
      <c r="S5" s="32" t="str">
        <f t="shared" si="2"/>
        <v/>
      </c>
      <c r="T5" s="32" t="str">
        <f t="shared" si="3"/>
        <v/>
      </c>
      <c r="U5" s="35"/>
      <c r="V5" s="35"/>
      <c r="W5" s="35"/>
      <c r="X5" s="35"/>
      <c r="Y5" s="32" t="str">
        <f t="shared" si="4"/>
        <v/>
      </c>
      <c r="Z5" s="35"/>
      <c r="AA5" s="35"/>
      <c r="AB5" s="35"/>
      <c r="AC5" s="35"/>
      <c r="AD5" s="35"/>
      <c r="AE5" s="35"/>
      <c r="AF5" s="35"/>
      <c r="AG5" s="15" t="s">
        <v>321</v>
      </c>
    </row>
    <row r="6" spans="1:33" ht="22.8" x14ac:dyDescent="0.3">
      <c r="A6" s="30">
        <v>3685</v>
      </c>
      <c r="B6" s="9"/>
      <c r="C6" s="36"/>
      <c r="D6" s="9"/>
      <c r="E6" s="9" t="s">
        <v>741</v>
      </c>
      <c r="F6" s="30" t="s">
        <v>314</v>
      </c>
      <c r="G6" s="31" t="s">
        <v>317</v>
      </c>
      <c r="H6" s="31" t="s">
        <v>316</v>
      </c>
      <c r="I6" s="31" t="s">
        <v>317</v>
      </c>
      <c r="J6" s="31" t="s">
        <v>316</v>
      </c>
      <c r="K6" s="31" t="s">
        <v>316</v>
      </c>
      <c r="L6" s="32" t="str">
        <f t="shared" si="0"/>
        <v>EXCLUDE</v>
      </c>
      <c r="M6" s="32" t="str">
        <f t="shared" si="1"/>
        <v>Wrong domain (non-AECO)</v>
      </c>
      <c r="N6" s="33"/>
      <c r="O6" s="33"/>
      <c r="P6" s="34"/>
      <c r="Q6" s="34"/>
      <c r="R6" s="34"/>
      <c r="S6" s="32" t="str">
        <f t="shared" si="2"/>
        <v/>
      </c>
      <c r="T6" s="32" t="str">
        <f t="shared" si="3"/>
        <v/>
      </c>
      <c r="U6" s="35"/>
      <c r="V6" s="35"/>
      <c r="W6" s="35"/>
      <c r="X6" s="35"/>
      <c r="Y6" s="32" t="str">
        <f t="shared" si="4"/>
        <v/>
      </c>
      <c r="Z6" s="35"/>
      <c r="AA6" s="35"/>
      <c r="AB6" s="35"/>
      <c r="AC6" s="35"/>
      <c r="AD6" s="35"/>
      <c r="AE6" s="35"/>
      <c r="AF6" s="35"/>
      <c r="AG6" s="15" t="s">
        <v>322</v>
      </c>
    </row>
    <row r="7" spans="1:33" ht="45.6" x14ac:dyDescent="0.3">
      <c r="A7" s="30">
        <v>3756</v>
      </c>
      <c r="B7" s="9" t="s">
        <v>167</v>
      </c>
      <c r="C7" s="36">
        <v>2026</v>
      </c>
      <c r="D7" s="9"/>
      <c r="E7" s="9" t="s">
        <v>742</v>
      </c>
      <c r="F7" s="30" t="s">
        <v>314</v>
      </c>
      <c r="G7" s="31" t="s">
        <v>316</v>
      </c>
      <c r="H7" s="31" t="s">
        <v>316</v>
      </c>
      <c r="I7" s="31" t="s">
        <v>316</v>
      </c>
      <c r="J7" s="31" t="s">
        <v>316</v>
      </c>
      <c r="K7" s="31" t="s">
        <v>316</v>
      </c>
      <c r="L7" s="32" t="str">
        <f t="shared" si="0"/>
        <v>INCLUDE</v>
      </c>
      <c r="M7" s="32" t="str">
        <f t="shared" si="1"/>
        <v/>
      </c>
      <c r="N7" s="33" t="s">
        <v>49</v>
      </c>
      <c r="O7" s="33" t="s">
        <v>49</v>
      </c>
      <c r="P7" s="34" t="s">
        <v>49</v>
      </c>
      <c r="Q7" s="34" t="s">
        <v>49</v>
      </c>
      <c r="R7" s="34" t="s">
        <v>49</v>
      </c>
      <c r="S7" s="32" t="str">
        <f t="shared" si="2"/>
        <v>INCLUDE</v>
      </c>
      <c r="T7" s="32" t="str">
        <f t="shared" si="3"/>
        <v/>
      </c>
      <c r="U7" s="35" t="s">
        <v>61</v>
      </c>
      <c r="V7" s="35">
        <v>0</v>
      </c>
      <c r="W7" s="35">
        <v>1</v>
      </c>
      <c r="X7" s="35">
        <v>0</v>
      </c>
      <c r="Y7" s="32" t="str">
        <f t="shared" si="4"/>
        <v>Single</v>
      </c>
      <c r="Z7" s="35" t="s">
        <v>9</v>
      </c>
      <c r="AA7" s="35" t="s">
        <v>53</v>
      </c>
      <c r="AB7" s="35" t="s">
        <v>92</v>
      </c>
      <c r="AC7" s="35" t="s">
        <v>64</v>
      </c>
      <c r="AD7" s="35" t="s">
        <v>72</v>
      </c>
      <c r="AE7" s="35">
        <v>4</v>
      </c>
      <c r="AF7" s="35" t="s">
        <v>80</v>
      </c>
      <c r="AG7" s="15" t="s">
        <v>323</v>
      </c>
    </row>
    <row r="8" spans="1:33" ht="45.6" x14ac:dyDescent="0.3">
      <c r="A8" s="30">
        <v>3978</v>
      </c>
      <c r="B8" s="9" t="s">
        <v>168</v>
      </c>
      <c r="C8" s="36">
        <v>2021</v>
      </c>
      <c r="D8" s="9"/>
      <c r="E8" s="9" t="s">
        <v>743</v>
      </c>
      <c r="F8" s="30" t="s">
        <v>315</v>
      </c>
      <c r="G8" s="31" t="s">
        <v>316</v>
      </c>
      <c r="H8" s="31" t="s">
        <v>316</v>
      </c>
      <c r="I8" s="31" t="s">
        <v>316</v>
      </c>
      <c r="J8" s="31" t="s">
        <v>316</v>
      </c>
      <c r="K8" s="31" t="s">
        <v>316</v>
      </c>
      <c r="L8" s="32" t="str">
        <f t="shared" si="0"/>
        <v>INCLUDE</v>
      </c>
      <c r="M8" s="32" t="str">
        <f t="shared" si="1"/>
        <v/>
      </c>
      <c r="N8" s="33" t="s">
        <v>49</v>
      </c>
      <c r="O8" s="33" t="s">
        <v>49</v>
      </c>
      <c r="P8" s="34" t="s">
        <v>49</v>
      </c>
      <c r="Q8" s="34" t="s">
        <v>49</v>
      </c>
      <c r="R8" s="34" t="s">
        <v>49</v>
      </c>
      <c r="S8" s="32" t="str">
        <f t="shared" si="2"/>
        <v>INCLUDE</v>
      </c>
      <c r="T8" s="32" t="str">
        <f t="shared" si="3"/>
        <v/>
      </c>
      <c r="U8" s="35" t="s">
        <v>68</v>
      </c>
      <c r="V8" s="35">
        <v>0</v>
      </c>
      <c r="W8" s="35">
        <v>1</v>
      </c>
      <c r="X8" s="35">
        <v>1</v>
      </c>
      <c r="Y8" s="32" t="str">
        <f t="shared" si="4"/>
        <v>Multi</v>
      </c>
      <c r="Z8" s="35" t="s">
        <v>9</v>
      </c>
      <c r="AA8" s="35" t="s">
        <v>62</v>
      </c>
      <c r="AB8" s="35" t="s">
        <v>91</v>
      </c>
      <c r="AC8" s="35" t="s">
        <v>64</v>
      </c>
      <c r="AD8" s="35" t="s">
        <v>56</v>
      </c>
      <c r="AE8" s="35">
        <v>3</v>
      </c>
      <c r="AF8" s="35" t="s">
        <v>57</v>
      </c>
      <c r="AG8" s="15" t="s">
        <v>324</v>
      </c>
    </row>
    <row r="9" spans="1:33" ht="22.8" x14ac:dyDescent="0.3">
      <c r="A9" s="30">
        <v>3527</v>
      </c>
      <c r="B9" s="9"/>
      <c r="C9" s="36"/>
      <c r="D9" s="9"/>
      <c r="E9" s="9" t="s">
        <v>744</v>
      </c>
      <c r="F9" s="30" t="s">
        <v>314</v>
      </c>
      <c r="G9" s="31" t="s">
        <v>316</v>
      </c>
      <c r="H9" s="31" t="s">
        <v>317</v>
      </c>
      <c r="I9" s="31" t="s">
        <v>316</v>
      </c>
      <c r="J9" s="31" t="s">
        <v>316</v>
      </c>
      <c r="K9" s="31" t="s">
        <v>316</v>
      </c>
      <c r="L9" s="32" t="str">
        <f t="shared" si="0"/>
        <v>EXCLUDE</v>
      </c>
      <c r="M9" s="32" t="str">
        <f t="shared" si="1"/>
        <v>Digital Twin not core / buzzword</v>
      </c>
      <c r="N9" s="33"/>
      <c r="O9" s="33"/>
      <c r="P9" s="34"/>
      <c r="Q9" s="34"/>
      <c r="R9" s="34"/>
      <c r="S9" s="32" t="str">
        <f t="shared" si="2"/>
        <v/>
      </c>
      <c r="T9" s="32" t="str">
        <f t="shared" si="3"/>
        <v/>
      </c>
      <c r="U9" s="35"/>
      <c r="V9" s="35"/>
      <c r="W9" s="35"/>
      <c r="X9" s="35"/>
      <c r="Y9" s="32" t="str">
        <f t="shared" si="4"/>
        <v/>
      </c>
      <c r="Z9" s="35"/>
      <c r="AA9" s="35"/>
      <c r="AB9" s="35"/>
      <c r="AC9" s="35"/>
      <c r="AD9" s="35"/>
      <c r="AE9" s="35"/>
      <c r="AF9" s="35"/>
      <c r="AG9" s="15" t="s">
        <v>325</v>
      </c>
    </row>
    <row r="10" spans="1:33" ht="22.8" x14ac:dyDescent="0.3">
      <c r="A10" s="30">
        <v>3963</v>
      </c>
      <c r="B10" s="9"/>
      <c r="C10" s="36"/>
      <c r="D10" s="9"/>
      <c r="E10" s="9" t="s">
        <v>745</v>
      </c>
      <c r="F10" s="30" t="s">
        <v>315</v>
      </c>
      <c r="G10" s="31" t="s">
        <v>316</v>
      </c>
      <c r="H10" s="31" t="s">
        <v>317</v>
      </c>
      <c r="I10" s="31" t="s">
        <v>316</v>
      </c>
      <c r="J10" s="31" t="s">
        <v>316</v>
      </c>
      <c r="K10" s="31" t="s">
        <v>316</v>
      </c>
      <c r="L10" s="32" t="str">
        <f t="shared" si="0"/>
        <v>EXCLUDE</v>
      </c>
      <c r="M10" s="32" t="str">
        <f t="shared" si="1"/>
        <v>Digital Twin not core / buzzword</v>
      </c>
      <c r="N10" s="33"/>
      <c r="O10" s="33"/>
      <c r="P10" s="34"/>
      <c r="Q10" s="34"/>
      <c r="R10" s="34"/>
      <c r="S10" s="32" t="str">
        <f t="shared" si="2"/>
        <v/>
      </c>
      <c r="T10" s="32" t="str">
        <f t="shared" si="3"/>
        <v/>
      </c>
      <c r="U10" s="35"/>
      <c r="V10" s="35"/>
      <c r="W10" s="35"/>
      <c r="X10" s="35"/>
      <c r="Y10" s="32" t="str">
        <f t="shared" si="4"/>
        <v/>
      </c>
      <c r="Z10" s="35"/>
      <c r="AA10" s="35"/>
      <c r="AB10" s="35"/>
      <c r="AC10" s="35"/>
      <c r="AD10" s="35"/>
      <c r="AE10" s="35"/>
      <c r="AF10" s="35"/>
      <c r="AG10" s="15" t="s">
        <v>326</v>
      </c>
    </row>
    <row r="11" spans="1:33" ht="22.8" x14ac:dyDescent="0.3">
      <c r="A11" s="30">
        <v>3917</v>
      </c>
      <c r="B11" s="9"/>
      <c r="C11" s="36"/>
      <c r="D11" s="9"/>
      <c r="E11" s="9" t="s">
        <v>746</v>
      </c>
      <c r="F11" s="30" t="s">
        <v>315</v>
      </c>
      <c r="G11" s="31" t="s">
        <v>316</v>
      </c>
      <c r="H11" s="31" t="s">
        <v>317</v>
      </c>
      <c r="I11" s="31" t="s">
        <v>317</v>
      </c>
      <c r="J11" s="31" t="s">
        <v>316</v>
      </c>
      <c r="K11" s="31" t="s">
        <v>316</v>
      </c>
      <c r="L11" s="32" t="str">
        <f t="shared" si="0"/>
        <v>EXCLUDE</v>
      </c>
      <c r="M11" s="32" t="str">
        <f t="shared" si="1"/>
        <v>Digital Twin not core / buzzword</v>
      </c>
      <c r="N11" s="33"/>
      <c r="O11" s="33"/>
      <c r="P11" s="34"/>
      <c r="Q11" s="34"/>
      <c r="R11" s="34"/>
      <c r="S11" s="32" t="str">
        <f t="shared" si="2"/>
        <v/>
      </c>
      <c r="T11" s="32" t="str">
        <f t="shared" si="3"/>
        <v/>
      </c>
      <c r="U11" s="35"/>
      <c r="V11" s="35"/>
      <c r="W11" s="35"/>
      <c r="X11" s="35"/>
      <c r="Y11" s="32" t="str">
        <f t="shared" si="4"/>
        <v/>
      </c>
      <c r="Z11" s="35"/>
      <c r="AA11" s="35"/>
      <c r="AB11" s="35"/>
      <c r="AC11" s="35"/>
      <c r="AD11" s="35"/>
      <c r="AE11" s="35"/>
      <c r="AF11" s="35"/>
      <c r="AG11" s="15" t="s">
        <v>327</v>
      </c>
    </row>
    <row r="12" spans="1:33" ht="22.8" x14ac:dyDescent="0.3">
      <c r="A12" s="30">
        <v>3541</v>
      </c>
      <c r="B12" s="9"/>
      <c r="C12" s="36"/>
      <c r="D12" s="9"/>
      <c r="E12" s="9" t="s">
        <v>747</v>
      </c>
      <c r="F12" s="30" t="s">
        <v>314</v>
      </c>
      <c r="G12" s="31" t="s">
        <v>317</v>
      </c>
      <c r="H12" s="31" t="s">
        <v>317</v>
      </c>
      <c r="I12" s="31" t="s">
        <v>317</v>
      </c>
      <c r="J12" s="31" t="s">
        <v>316</v>
      </c>
      <c r="K12" s="31" t="s">
        <v>316</v>
      </c>
      <c r="L12" s="32" t="str">
        <f t="shared" si="0"/>
        <v>EXCLUDE</v>
      </c>
      <c r="M12" s="32" t="str">
        <f t="shared" si="1"/>
        <v>Wrong domain (non-AECO)</v>
      </c>
      <c r="N12" s="33"/>
      <c r="O12" s="33"/>
      <c r="P12" s="34"/>
      <c r="Q12" s="34"/>
      <c r="R12" s="34"/>
      <c r="S12" s="32" t="str">
        <f t="shared" si="2"/>
        <v/>
      </c>
      <c r="T12" s="32" t="str">
        <f t="shared" si="3"/>
        <v/>
      </c>
      <c r="U12" s="35"/>
      <c r="V12" s="35"/>
      <c r="W12" s="35"/>
      <c r="X12" s="35"/>
      <c r="Y12" s="32" t="str">
        <f t="shared" si="4"/>
        <v/>
      </c>
      <c r="Z12" s="35"/>
      <c r="AA12" s="35"/>
      <c r="AB12" s="35"/>
      <c r="AC12" s="35"/>
      <c r="AD12" s="35"/>
      <c r="AE12" s="35"/>
      <c r="AF12" s="35"/>
      <c r="AG12" s="15" t="s">
        <v>328</v>
      </c>
    </row>
    <row r="13" spans="1:33" ht="22.8" x14ac:dyDescent="0.3">
      <c r="A13" s="30">
        <v>3903</v>
      </c>
      <c r="B13" s="9"/>
      <c r="C13" s="36"/>
      <c r="D13" s="9"/>
      <c r="E13" s="9" t="s">
        <v>748</v>
      </c>
      <c r="F13" s="30" t="s">
        <v>315</v>
      </c>
      <c r="G13" s="31" t="s">
        <v>316</v>
      </c>
      <c r="H13" s="31" t="s">
        <v>317</v>
      </c>
      <c r="I13" s="31" t="s">
        <v>316</v>
      </c>
      <c r="J13" s="31" t="s">
        <v>316</v>
      </c>
      <c r="K13" s="31" t="s">
        <v>316</v>
      </c>
      <c r="L13" s="32" t="str">
        <f t="shared" si="0"/>
        <v>EXCLUDE</v>
      </c>
      <c r="M13" s="32" t="str">
        <f t="shared" si="1"/>
        <v>Digital Twin not core / buzzword</v>
      </c>
      <c r="N13" s="33"/>
      <c r="O13" s="33"/>
      <c r="P13" s="34"/>
      <c r="Q13" s="34"/>
      <c r="R13" s="34"/>
      <c r="S13" s="32" t="str">
        <f t="shared" si="2"/>
        <v/>
      </c>
      <c r="T13" s="32" t="str">
        <f t="shared" si="3"/>
        <v/>
      </c>
      <c r="U13" s="35"/>
      <c r="V13" s="35"/>
      <c r="W13" s="35"/>
      <c r="X13" s="35"/>
      <c r="Y13" s="32" t="str">
        <f t="shared" si="4"/>
        <v/>
      </c>
      <c r="Z13" s="35"/>
      <c r="AA13" s="35"/>
      <c r="AB13" s="35"/>
      <c r="AC13" s="35"/>
      <c r="AD13" s="35"/>
      <c r="AE13" s="35"/>
      <c r="AF13" s="35"/>
      <c r="AG13" s="15" t="s">
        <v>329</v>
      </c>
    </row>
    <row r="14" spans="1:33" ht="45.6" x14ac:dyDescent="0.3">
      <c r="A14" s="30">
        <v>3915</v>
      </c>
      <c r="B14" s="9" t="s">
        <v>169</v>
      </c>
      <c r="C14" s="36">
        <v>2024</v>
      </c>
      <c r="D14" s="9"/>
      <c r="E14" s="9" t="s">
        <v>749</v>
      </c>
      <c r="F14" s="30" t="s">
        <v>315</v>
      </c>
      <c r="G14" s="31" t="s">
        <v>316</v>
      </c>
      <c r="H14" s="31" t="s">
        <v>316</v>
      </c>
      <c r="I14" s="31" t="s">
        <v>316</v>
      </c>
      <c r="J14" s="31" t="s">
        <v>316</v>
      </c>
      <c r="K14" s="31" t="s">
        <v>316</v>
      </c>
      <c r="L14" s="32" t="str">
        <f t="shared" si="0"/>
        <v>INCLUDE</v>
      </c>
      <c r="M14" s="32" t="str">
        <f t="shared" si="1"/>
        <v/>
      </c>
      <c r="N14" s="33" t="s">
        <v>49</v>
      </c>
      <c r="O14" s="33" t="s">
        <v>49</v>
      </c>
      <c r="P14" s="34" t="s">
        <v>49</v>
      </c>
      <c r="Q14" s="34" t="s">
        <v>49</v>
      </c>
      <c r="R14" s="34" t="s">
        <v>49</v>
      </c>
      <c r="S14" s="32" t="str">
        <f t="shared" si="2"/>
        <v>INCLUDE</v>
      </c>
      <c r="T14" s="32" t="str">
        <f t="shared" si="3"/>
        <v/>
      </c>
      <c r="U14" s="35" t="s">
        <v>68</v>
      </c>
      <c r="V14" s="35">
        <v>0</v>
      </c>
      <c r="W14" s="35">
        <v>0</v>
      </c>
      <c r="X14" s="35">
        <v>1</v>
      </c>
      <c r="Y14" s="32" t="str">
        <f t="shared" si="4"/>
        <v>Single</v>
      </c>
      <c r="Z14" s="35" t="s">
        <v>9</v>
      </c>
      <c r="AA14" s="35" t="s">
        <v>62</v>
      </c>
      <c r="AB14" s="35" t="s">
        <v>91</v>
      </c>
      <c r="AC14" s="35" t="s">
        <v>64</v>
      </c>
      <c r="AD14" s="35" t="s">
        <v>56</v>
      </c>
      <c r="AE14" s="35">
        <v>3</v>
      </c>
      <c r="AF14" s="35" t="s">
        <v>80</v>
      </c>
      <c r="AG14" s="15" t="s">
        <v>330</v>
      </c>
    </row>
    <row r="15" spans="1:33" ht="68.400000000000006" x14ac:dyDescent="0.3">
      <c r="A15" s="30">
        <v>3668</v>
      </c>
      <c r="B15" s="9" t="s">
        <v>170</v>
      </c>
      <c r="C15" s="36">
        <v>2025</v>
      </c>
      <c r="D15" s="9"/>
      <c r="E15" s="9" t="s">
        <v>750</v>
      </c>
      <c r="F15" s="30" t="s">
        <v>314</v>
      </c>
      <c r="G15" s="31" t="s">
        <v>316</v>
      </c>
      <c r="H15" s="31" t="s">
        <v>316</v>
      </c>
      <c r="I15" s="31" t="s">
        <v>316</v>
      </c>
      <c r="J15" s="31" t="s">
        <v>316</v>
      </c>
      <c r="K15" s="31" t="s">
        <v>316</v>
      </c>
      <c r="L15" s="32" t="str">
        <f t="shared" si="0"/>
        <v>INCLUDE</v>
      </c>
      <c r="M15" s="32" t="str">
        <f t="shared" si="1"/>
        <v/>
      </c>
      <c r="N15" s="33" t="s">
        <v>49</v>
      </c>
      <c r="O15" s="33" t="s">
        <v>49</v>
      </c>
      <c r="P15" s="34" t="s">
        <v>49</v>
      </c>
      <c r="Q15" s="34" t="s">
        <v>49</v>
      </c>
      <c r="R15" s="34" t="s">
        <v>49</v>
      </c>
      <c r="S15" s="32" t="str">
        <f t="shared" si="2"/>
        <v>INCLUDE</v>
      </c>
      <c r="T15" s="32" t="str">
        <f t="shared" si="3"/>
        <v/>
      </c>
      <c r="U15" s="35" t="s">
        <v>61</v>
      </c>
      <c r="V15" s="35">
        <v>0</v>
      </c>
      <c r="W15" s="35">
        <v>0</v>
      </c>
      <c r="X15" s="35">
        <v>1</v>
      </c>
      <c r="Y15" s="32" t="str">
        <f t="shared" si="4"/>
        <v>Single</v>
      </c>
      <c r="Z15" s="35" t="s">
        <v>9</v>
      </c>
      <c r="AA15" s="35" t="s">
        <v>53</v>
      </c>
      <c r="AB15" s="35" t="s">
        <v>92</v>
      </c>
      <c r="AC15" s="35" t="s">
        <v>64</v>
      </c>
      <c r="AD15" s="35" t="s">
        <v>72</v>
      </c>
      <c r="AE15" s="35">
        <v>4</v>
      </c>
      <c r="AF15" s="35" t="s">
        <v>80</v>
      </c>
      <c r="AG15" s="15" t="s">
        <v>331</v>
      </c>
    </row>
    <row r="16" spans="1:33" ht="45.6" x14ac:dyDescent="0.3">
      <c r="A16" s="30">
        <v>4053</v>
      </c>
      <c r="B16" s="9" t="s">
        <v>171</v>
      </c>
      <c r="C16" s="36">
        <v>2024</v>
      </c>
      <c r="D16" s="9"/>
      <c r="E16" s="9" t="s">
        <v>751</v>
      </c>
      <c r="F16" s="30" t="s">
        <v>315</v>
      </c>
      <c r="G16" s="31" t="s">
        <v>316</v>
      </c>
      <c r="H16" s="31" t="s">
        <v>316</v>
      </c>
      <c r="I16" s="31" t="s">
        <v>316</v>
      </c>
      <c r="J16" s="31" t="s">
        <v>316</v>
      </c>
      <c r="K16" s="31" t="s">
        <v>316</v>
      </c>
      <c r="L16" s="32" t="str">
        <f t="shared" si="0"/>
        <v>INCLUDE</v>
      </c>
      <c r="M16" s="32" t="str">
        <f t="shared" si="1"/>
        <v/>
      </c>
      <c r="N16" s="33" t="s">
        <v>49</v>
      </c>
      <c r="O16" s="33" t="s">
        <v>49</v>
      </c>
      <c r="P16" s="34" t="s">
        <v>58</v>
      </c>
      <c r="Q16" s="34" t="s">
        <v>49</v>
      </c>
      <c r="R16" s="34" t="s">
        <v>49</v>
      </c>
      <c r="S16" s="32" t="str">
        <f t="shared" si="2"/>
        <v>EXCLUDE</v>
      </c>
      <c r="T16" s="32" t="str">
        <f t="shared" si="3"/>
        <v>Digital Twin mentioned only, not the subject</v>
      </c>
      <c r="U16" s="35" t="s">
        <v>82</v>
      </c>
      <c r="V16" s="35"/>
      <c r="W16" s="35"/>
      <c r="X16" s="35"/>
      <c r="Y16" s="32" t="str">
        <f t="shared" si="4"/>
        <v/>
      </c>
      <c r="Z16" s="35"/>
      <c r="AA16" s="35"/>
      <c r="AB16" s="35"/>
      <c r="AC16" s="35"/>
      <c r="AD16" s="35"/>
      <c r="AE16" s="35"/>
      <c r="AF16" s="35"/>
      <c r="AG16" s="15" t="s">
        <v>332</v>
      </c>
    </row>
    <row r="17" spans="1:33" ht="22.8" x14ac:dyDescent="0.3">
      <c r="A17" s="30">
        <v>3579</v>
      </c>
      <c r="B17" s="9"/>
      <c r="C17" s="36"/>
      <c r="D17" s="9"/>
      <c r="E17" s="9" t="s">
        <v>752</v>
      </c>
      <c r="F17" s="30" t="s">
        <v>314</v>
      </c>
      <c r="G17" s="31" t="s">
        <v>317</v>
      </c>
      <c r="H17" s="31" t="s">
        <v>317</v>
      </c>
      <c r="I17" s="31" t="s">
        <v>317</v>
      </c>
      <c r="J17" s="31" t="s">
        <v>316</v>
      </c>
      <c r="K17" s="31" t="s">
        <v>316</v>
      </c>
      <c r="L17" s="32" t="str">
        <f t="shared" si="0"/>
        <v>EXCLUDE</v>
      </c>
      <c r="M17" s="32" t="str">
        <f t="shared" si="1"/>
        <v>Wrong domain (non-AECO)</v>
      </c>
      <c r="N17" s="33"/>
      <c r="O17" s="33"/>
      <c r="P17" s="34"/>
      <c r="Q17" s="34"/>
      <c r="R17" s="34"/>
      <c r="S17" s="32" t="str">
        <f t="shared" si="2"/>
        <v/>
      </c>
      <c r="T17" s="32" t="str">
        <f t="shared" si="3"/>
        <v/>
      </c>
      <c r="U17" s="35"/>
      <c r="V17" s="35"/>
      <c r="W17" s="35"/>
      <c r="X17" s="35"/>
      <c r="Y17" s="32" t="str">
        <f t="shared" si="4"/>
        <v/>
      </c>
      <c r="Z17" s="35"/>
      <c r="AA17" s="35"/>
      <c r="AB17" s="35"/>
      <c r="AC17" s="35"/>
      <c r="AD17" s="35"/>
      <c r="AE17" s="35"/>
      <c r="AF17" s="35"/>
      <c r="AG17" s="15" t="s">
        <v>333</v>
      </c>
    </row>
    <row r="18" spans="1:33" ht="22.8" x14ac:dyDescent="0.3">
      <c r="A18" s="30">
        <v>3838</v>
      </c>
      <c r="B18" s="9"/>
      <c r="C18" s="36"/>
      <c r="D18" s="9"/>
      <c r="E18" s="9" t="s">
        <v>753</v>
      </c>
      <c r="F18" s="30" t="s">
        <v>314</v>
      </c>
      <c r="G18" s="31" t="s">
        <v>316</v>
      </c>
      <c r="H18" s="31" t="s">
        <v>317</v>
      </c>
      <c r="I18" s="31" t="s">
        <v>317</v>
      </c>
      <c r="J18" s="31" t="s">
        <v>316</v>
      </c>
      <c r="K18" s="31" t="s">
        <v>316</v>
      </c>
      <c r="L18" s="32" t="str">
        <f t="shared" si="0"/>
        <v>EXCLUDE</v>
      </c>
      <c r="M18" s="32" t="str">
        <f t="shared" si="1"/>
        <v>Digital Twin not core / buzzword</v>
      </c>
      <c r="N18" s="33"/>
      <c r="O18" s="33"/>
      <c r="P18" s="34"/>
      <c r="Q18" s="34"/>
      <c r="R18" s="34"/>
      <c r="S18" s="32" t="str">
        <f t="shared" si="2"/>
        <v/>
      </c>
      <c r="T18" s="32" t="str">
        <f t="shared" si="3"/>
        <v/>
      </c>
      <c r="U18" s="35"/>
      <c r="V18" s="35"/>
      <c r="W18" s="35"/>
      <c r="X18" s="35"/>
      <c r="Y18" s="32" t="str">
        <f t="shared" si="4"/>
        <v/>
      </c>
      <c r="Z18" s="35"/>
      <c r="AA18" s="35"/>
      <c r="AB18" s="35"/>
      <c r="AC18" s="35"/>
      <c r="AD18" s="35"/>
      <c r="AE18" s="35"/>
      <c r="AF18" s="35"/>
      <c r="AG18" s="15" t="s">
        <v>334</v>
      </c>
    </row>
    <row r="19" spans="1:33" ht="22.8" x14ac:dyDescent="0.3">
      <c r="A19" s="30">
        <v>4020</v>
      </c>
      <c r="B19" s="9"/>
      <c r="C19" s="36"/>
      <c r="D19" s="9"/>
      <c r="E19" s="9" t="s">
        <v>754</v>
      </c>
      <c r="F19" s="30" t="s">
        <v>315</v>
      </c>
      <c r="G19" s="31" t="s">
        <v>317</v>
      </c>
      <c r="H19" s="31" t="s">
        <v>316</v>
      </c>
      <c r="I19" s="31" t="s">
        <v>317</v>
      </c>
      <c r="J19" s="31" t="s">
        <v>316</v>
      </c>
      <c r="K19" s="31" t="s">
        <v>316</v>
      </c>
      <c r="L19" s="32" t="str">
        <f t="shared" si="0"/>
        <v>EXCLUDE</v>
      </c>
      <c r="M19" s="32" t="str">
        <f t="shared" si="1"/>
        <v>Wrong domain (non-AECO)</v>
      </c>
      <c r="N19" s="33"/>
      <c r="O19" s="33"/>
      <c r="P19" s="34"/>
      <c r="Q19" s="34"/>
      <c r="R19" s="34"/>
      <c r="S19" s="32" t="str">
        <f t="shared" si="2"/>
        <v/>
      </c>
      <c r="T19" s="32" t="str">
        <f t="shared" si="3"/>
        <v/>
      </c>
      <c r="U19" s="35"/>
      <c r="V19" s="35"/>
      <c r="W19" s="35"/>
      <c r="X19" s="35"/>
      <c r="Y19" s="32" t="str">
        <f t="shared" si="4"/>
        <v/>
      </c>
      <c r="Z19" s="35"/>
      <c r="AA19" s="35"/>
      <c r="AB19" s="35"/>
      <c r="AC19" s="35"/>
      <c r="AD19" s="35"/>
      <c r="AE19" s="35"/>
      <c r="AF19" s="35"/>
      <c r="AG19" s="15" t="s">
        <v>335</v>
      </c>
    </row>
    <row r="20" spans="1:33" ht="45.6" x14ac:dyDescent="0.3">
      <c r="A20" s="30">
        <v>3842</v>
      </c>
      <c r="B20" s="9" t="s">
        <v>172</v>
      </c>
      <c r="C20" s="36">
        <v>2025</v>
      </c>
      <c r="D20" s="9"/>
      <c r="E20" s="9" t="s">
        <v>755</v>
      </c>
      <c r="F20" s="30" t="s">
        <v>314</v>
      </c>
      <c r="G20" s="31" t="s">
        <v>316</v>
      </c>
      <c r="H20" s="31" t="s">
        <v>316</v>
      </c>
      <c r="I20" s="31" t="s">
        <v>316</v>
      </c>
      <c r="J20" s="31" t="s">
        <v>316</v>
      </c>
      <c r="K20" s="31" t="s">
        <v>316</v>
      </c>
      <c r="L20" s="32" t="str">
        <f t="shared" si="0"/>
        <v>INCLUDE</v>
      </c>
      <c r="M20" s="32" t="str">
        <f t="shared" si="1"/>
        <v/>
      </c>
      <c r="N20" s="33" t="s">
        <v>49</v>
      </c>
      <c r="O20" s="33" t="s">
        <v>49</v>
      </c>
      <c r="P20" s="34" t="s">
        <v>49</v>
      </c>
      <c r="Q20" s="34" t="s">
        <v>49</v>
      </c>
      <c r="R20" s="34" t="s">
        <v>49</v>
      </c>
      <c r="S20" s="32" t="str">
        <f t="shared" si="2"/>
        <v>INCLUDE</v>
      </c>
      <c r="T20" s="32" t="str">
        <f t="shared" si="3"/>
        <v/>
      </c>
      <c r="U20" s="35" t="s">
        <v>52</v>
      </c>
      <c r="V20" s="35">
        <v>0</v>
      </c>
      <c r="W20" s="35">
        <v>0</v>
      </c>
      <c r="X20" s="35">
        <v>1</v>
      </c>
      <c r="Y20" s="32" t="str">
        <f t="shared" si="4"/>
        <v>Single</v>
      </c>
      <c r="Z20" s="35" t="s">
        <v>9</v>
      </c>
      <c r="AA20" s="35" t="s">
        <v>53</v>
      </c>
      <c r="AB20" s="35" t="s">
        <v>91</v>
      </c>
      <c r="AC20" s="35" t="s">
        <v>64</v>
      </c>
      <c r="AD20" s="35" t="s">
        <v>79</v>
      </c>
      <c r="AE20" s="35">
        <v>3</v>
      </c>
      <c r="AF20" s="35" t="s">
        <v>86</v>
      </c>
      <c r="AG20" s="15" t="s">
        <v>336</v>
      </c>
    </row>
    <row r="21" spans="1:33" ht="79.8" x14ac:dyDescent="0.3">
      <c r="A21" s="30">
        <v>4028</v>
      </c>
      <c r="B21" s="9" t="s">
        <v>173</v>
      </c>
      <c r="C21" s="36">
        <v>2025</v>
      </c>
      <c r="D21" s="9"/>
      <c r="E21" s="9" t="s">
        <v>756</v>
      </c>
      <c r="F21" s="30" t="s">
        <v>315</v>
      </c>
      <c r="G21" s="31" t="s">
        <v>316</v>
      </c>
      <c r="H21" s="31" t="s">
        <v>316</v>
      </c>
      <c r="I21" s="31" t="s">
        <v>316</v>
      </c>
      <c r="J21" s="31" t="s">
        <v>316</v>
      </c>
      <c r="K21" s="31" t="s">
        <v>316</v>
      </c>
      <c r="L21" s="32" t="str">
        <f t="shared" si="0"/>
        <v>INCLUDE</v>
      </c>
      <c r="M21" s="32" t="str">
        <f t="shared" si="1"/>
        <v/>
      </c>
      <c r="N21" s="33" t="s">
        <v>49</v>
      </c>
      <c r="O21" s="33" t="s">
        <v>49</v>
      </c>
      <c r="P21" s="34" t="s">
        <v>49</v>
      </c>
      <c r="Q21" s="34" t="s">
        <v>49</v>
      </c>
      <c r="R21" s="34" t="s">
        <v>49</v>
      </c>
      <c r="S21" s="32" t="str">
        <f t="shared" si="2"/>
        <v>INCLUDE</v>
      </c>
      <c r="T21" s="32" t="str">
        <f t="shared" si="3"/>
        <v/>
      </c>
      <c r="U21" s="35" t="s">
        <v>61</v>
      </c>
      <c r="V21" s="35">
        <v>0</v>
      </c>
      <c r="W21" s="35">
        <v>1</v>
      </c>
      <c r="X21" s="35">
        <v>0</v>
      </c>
      <c r="Y21" s="32" t="str">
        <f t="shared" si="4"/>
        <v>Single</v>
      </c>
      <c r="Z21" s="35" t="s">
        <v>11</v>
      </c>
      <c r="AA21" s="35" t="s">
        <v>53</v>
      </c>
      <c r="AB21" s="35" t="s">
        <v>91</v>
      </c>
      <c r="AC21" s="35" t="s">
        <v>64</v>
      </c>
      <c r="AD21" s="35" t="s">
        <v>56</v>
      </c>
      <c r="AE21" s="35">
        <v>3</v>
      </c>
      <c r="AF21" s="35" t="s">
        <v>57</v>
      </c>
      <c r="AG21" s="15" t="s">
        <v>337</v>
      </c>
    </row>
    <row r="22" spans="1:33" ht="45.6" x14ac:dyDescent="0.3">
      <c r="A22" s="30">
        <v>3828</v>
      </c>
      <c r="B22" s="9" t="s">
        <v>174</v>
      </c>
      <c r="C22" s="36">
        <v>2026</v>
      </c>
      <c r="D22" s="9"/>
      <c r="E22" s="9" t="s">
        <v>757</v>
      </c>
      <c r="F22" s="30" t="s">
        <v>314</v>
      </c>
      <c r="G22" s="31" t="s">
        <v>316</v>
      </c>
      <c r="H22" s="31" t="s">
        <v>316</v>
      </c>
      <c r="I22" s="31" t="s">
        <v>316</v>
      </c>
      <c r="J22" s="31" t="s">
        <v>316</v>
      </c>
      <c r="K22" s="31" t="s">
        <v>316</v>
      </c>
      <c r="L22" s="32" t="str">
        <f t="shared" si="0"/>
        <v>INCLUDE</v>
      </c>
      <c r="M22" s="32" t="str">
        <f t="shared" si="1"/>
        <v/>
      </c>
      <c r="N22" s="33" t="s">
        <v>49</v>
      </c>
      <c r="O22" s="33" t="s">
        <v>49</v>
      </c>
      <c r="P22" s="34" t="s">
        <v>49</v>
      </c>
      <c r="Q22" s="34" t="s">
        <v>49</v>
      </c>
      <c r="R22" s="34" t="s">
        <v>49</v>
      </c>
      <c r="S22" s="32" t="str">
        <f t="shared" si="2"/>
        <v>INCLUDE</v>
      </c>
      <c r="T22" s="32" t="str">
        <f t="shared" si="3"/>
        <v/>
      </c>
      <c r="U22" s="35" t="s">
        <v>52</v>
      </c>
      <c r="V22" s="35">
        <v>0</v>
      </c>
      <c r="W22" s="35">
        <v>0</v>
      </c>
      <c r="X22" s="35">
        <v>1</v>
      </c>
      <c r="Y22" s="32" t="str">
        <f t="shared" si="4"/>
        <v>Single</v>
      </c>
      <c r="Z22" s="35" t="s">
        <v>11</v>
      </c>
      <c r="AA22" s="35" t="s">
        <v>53</v>
      </c>
      <c r="AB22" s="35" t="s">
        <v>91</v>
      </c>
      <c r="AC22" s="35" t="s">
        <v>64</v>
      </c>
      <c r="AD22" s="35" t="s">
        <v>72</v>
      </c>
      <c r="AE22" s="35">
        <v>4</v>
      </c>
      <c r="AF22" s="35" t="s">
        <v>73</v>
      </c>
      <c r="AG22" s="15" t="s">
        <v>338</v>
      </c>
    </row>
    <row r="23" spans="1:33" ht="45.6" x14ac:dyDescent="0.3">
      <c r="A23" s="30">
        <v>3662</v>
      </c>
      <c r="B23" s="9" t="s">
        <v>175</v>
      </c>
      <c r="C23" s="36">
        <v>2024</v>
      </c>
      <c r="D23" s="9"/>
      <c r="E23" s="9" t="s">
        <v>758</v>
      </c>
      <c r="F23" s="30" t="s">
        <v>314</v>
      </c>
      <c r="G23" s="31" t="s">
        <v>316</v>
      </c>
      <c r="H23" s="31" t="s">
        <v>316</v>
      </c>
      <c r="I23" s="31" t="s">
        <v>316</v>
      </c>
      <c r="J23" s="31" t="s">
        <v>316</v>
      </c>
      <c r="K23" s="31" t="s">
        <v>316</v>
      </c>
      <c r="L23" s="32" t="str">
        <f t="shared" si="0"/>
        <v>INCLUDE</v>
      </c>
      <c r="M23" s="32" t="str">
        <f t="shared" si="1"/>
        <v/>
      </c>
      <c r="N23" s="33" t="s">
        <v>49</v>
      </c>
      <c r="O23" s="33" t="s">
        <v>49</v>
      </c>
      <c r="P23" s="34" t="s">
        <v>49</v>
      </c>
      <c r="Q23" s="34" t="s">
        <v>49</v>
      </c>
      <c r="R23" s="34" t="s">
        <v>49</v>
      </c>
      <c r="S23" s="32" t="str">
        <f t="shared" si="2"/>
        <v>INCLUDE</v>
      </c>
      <c r="T23" s="32" t="str">
        <f t="shared" si="3"/>
        <v/>
      </c>
      <c r="U23" s="35" t="s">
        <v>61</v>
      </c>
      <c r="V23" s="35">
        <v>0</v>
      </c>
      <c r="W23" s="35">
        <v>0</v>
      </c>
      <c r="X23" s="35">
        <v>1</v>
      </c>
      <c r="Y23" s="32" t="str">
        <f t="shared" si="4"/>
        <v>Single</v>
      </c>
      <c r="Z23" s="35" t="s">
        <v>9</v>
      </c>
      <c r="AA23" s="35" t="s">
        <v>70</v>
      </c>
      <c r="AB23" s="35" t="s">
        <v>92</v>
      </c>
      <c r="AC23" s="35" t="s">
        <v>55</v>
      </c>
      <c r="AD23" s="35" t="s">
        <v>72</v>
      </c>
      <c r="AE23" s="35">
        <v>4</v>
      </c>
      <c r="AF23" s="35" t="s">
        <v>84</v>
      </c>
      <c r="AG23" s="15" t="s">
        <v>339</v>
      </c>
    </row>
    <row r="24" spans="1:33" ht="79.8" x14ac:dyDescent="0.3">
      <c r="A24" s="30">
        <v>3975</v>
      </c>
      <c r="B24" s="9" t="s">
        <v>176</v>
      </c>
      <c r="C24" s="36">
        <v>2025</v>
      </c>
      <c r="D24" s="9"/>
      <c r="E24" s="9" t="s">
        <v>759</v>
      </c>
      <c r="F24" s="30" t="s">
        <v>315</v>
      </c>
      <c r="G24" s="31" t="s">
        <v>316</v>
      </c>
      <c r="H24" s="31" t="s">
        <v>316</v>
      </c>
      <c r="I24" s="31" t="s">
        <v>316</v>
      </c>
      <c r="J24" s="31" t="s">
        <v>316</v>
      </c>
      <c r="K24" s="31" t="s">
        <v>316</v>
      </c>
      <c r="L24" s="32" t="str">
        <f t="shared" si="0"/>
        <v>INCLUDE</v>
      </c>
      <c r="M24" s="32" t="str">
        <f t="shared" si="1"/>
        <v/>
      </c>
      <c r="N24" s="33" t="s">
        <v>49</v>
      </c>
      <c r="O24" s="33" t="s">
        <v>49</v>
      </c>
      <c r="P24" s="34" t="s">
        <v>49</v>
      </c>
      <c r="Q24" s="34" t="s">
        <v>49</v>
      </c>
      <c r="R24" s="34" t="s">
        <v>49</v>
      </c>
      <c r="S24" s="32" t="str">
        <f t="shared" si="2"/>
        <v>INCLUDE</v>
      </c>
      <c r="T24" s="32" t="str">
        <f t="shared" si="3"/>
        <v/>
      </c>
      <c r="U24" s="35" t="s">
        <v>52</v>
      </c>
      <c r="V24" s="35">
        <v>0</v>
      </c>
      <c r="W24" s="35">
        <v>0</v>
      </c>
      <c r="X24" s="35">
        <v>1</v>
      </c>
      <c r="Y24" s="32" t="str">
        <f t="shared" si="4"/>
        <v>Single</v>
      </c>
      <c r="Z24" s="35" t="s">
        <v>9</v>
      </c>
      <c r="AA24" s="35" t="s">
        <v>53</v>
      </c>
      <c r="AB24" s="35" t="s">
        <v>88</v>
      </c>
      <c r="AC24" s="35" t="s">
        <v>64</v>
      </c>
      <c r="AD24" s="35" t="s">
        <v>56</v>
      </c>
      <c r="AE24" s="35">
        <v>4</v>
      </c>
      <c r="AF24" s="35" t="s">
        <v>57</v>
      </c>
      <c r="AG24" s="15" t="s">
        <v>340</v>
      </c>
    </row>
    <row r="25" spans="1:33" ht="57" x14ac:dyDescent="0.3">
      <c r="A25" s="30">
        <v>3996</v>
      </c>
      <c r="B25" s="9" t="s">
        <v>177</v>
      </c>
      <c r="C25" s="36">
        <v>2024</v>
      </c>
      <c r="D25" s="9"/>
      <c r="E25" s="9" t="s">
        <v>760</v>
      </c>
      <c r="F25" s="30" t="s">
        <v>315</v>
      </c>
      <c r="G25" s="31" t="s">
        <v>316</v>
      </c>
      <c r="H25" s="31" t="s">
        <v>316</v>
      </c>
      <c r="I25" s="31" t="s">
        <v>316</v>
      </c>
      <c r="J25" s="31" t="s">
        <v>316</v>
      </c>
      <c r="K25" s="31" t="s">
        <v>316</v>
      </c>
      <c r="L25" s="32" t="str">
        <f t="shared" si="0"/>
        <v>INCLUDE</v>
      </c>
      <c r="M25" s="32" t="str">
        <f t="shared" si="1"/>
        <v/>
      </c>
      <c r="N25" s="33" t="s">
        <v>49</v>
      </c>
      <c r="O25" s="33" t="s">
        <v>49</v>
      </c>
      <c r="P25" s="34" t="s">
        <v>58</v>
      </c>
      <c r="Q25" s="34" t="s">
        <v>49</v>
      </c>
      <c r="R25" s="34" t="s">
        <v>49</v>
      </c>
      <c r="S25" s="32" t="str">
        <f t="shared" si="2"/>
        <v>EXCLUDE</v>
      </c>
      <c r="T25" s="32" t="str">
        <f t="shared" si="3"/>
        <v>Digital Twin mentioned only, not the subject</v>
      </c>
      <c r="U25" s="35" t="s">
        <v>82</v>
      </c>
      <c r="V25" s="35"/>
      <c r="W25" s="35"/>
      <c r="X25" s="35"/>
      <c r="Y25" s="32" t="str">
        <f t="shared" si="4"/>
        <v/>
      </c>
      <c r="Z25" s="35"/>
      <c r="AA25" s="35"/>
      <c r="AB25" s="35"/>
      <c r="AC25" s="35"/>
      <c r="AD25" s="35"/>
      <c r="AE25" s="35"/>
      <c r="AF25" s="35"/>
      <c r="AG25" s="15" t="s">
        <v>341</v>
      </c>
    </row>
    <row r="26" spans="1:33" ht="22.8" x14ac:dyDescent="0.3">
      <c r="A26" s="30">
        <v>4030</v>
      </c>
      <c r="B26" s="9"/>
      <c r="C26" s="36"/>
      <c r="D26" s="9"/>
      <c r="E26" s="9" t="s">
        <v>761</v>
      </c>
      <c r="F26" s="30" t="s">
        <v>315</v>
      </c>
      <c r="G26" s="31" t="s">
        <v>316</v>
      </c>
      <c r="H26" s="31" t="s">
        <v>317</v>
      </c>
      <c r="I26" s="31" t="s">
        <v>316</v>
      </c>
      <c r="J26" s="31" t="s">
        <v>316</v>
      </c>
      <c r="K26" s="31" t="s">
        <v>316</v>
      </c>
      <c r="L26" s="32" t="str">
        <f t="shared" si="0"/>
        <v>EXCLUDE</v>
      </c>
      <c r="M26" s="32" t="str">
        <f t="shared" si="1"/>
        <v>Digital Twin not core / buzzword</v>
      </c>
      <c r="N26" s="33"/>
      <c r="O26" s="33"/>
      <c r="P26" s="34"/>
      <c r="Q26" s="34"/>
      <c r="R26" s="34"/>
      <c r="S26" s="32" t="str">
        <f t="shared" si="2"/>
        <v/>
      </c>
      <c r="T26" s="32" t="str">
        <f t="shared" si="3"/>
        <v/>
      </c>
      <c r="U26" s="35"/>
      <c r="V26" s="35"/>
      <c r="W26" s="35"/>
      <c r="X26" s="35"/>
      <c r="Y26" s="32" t="str">
        <f t="shared" si="4"/>
        <v/>
      </c>
      <c r="Z26" s="35"/>
      <c r="AA26" s="35"/>
      <c r="AB26" s="35"/>
      <c r="AC26" s="35"/>
      <c r="AD26" s="35"/>
      <c r="AE26" s="35"/>
      <c r="AF26" s="35"/>
      <c r="AG26" s="15" t="s">
        <v>342</v>
      </c>
    </row>
    <row r="27" spans="1:33" ht="22.8" x14ac:dyDescent="0.3">
      <c r="A27" s="30">
        <v>3982</v>
      </c>
      <c r="B27" s="9"/>
      <c r="C27" s="36"/>
      <c r="D27" s="9"/>
      <c r="E27" s="9" t="s">
        <v>762</v>
      </c>
      <c r="F27" s="30" t="s">
        <v>315</v>
      </c>
      <c r="G27" s="31" t="s">
        <v>316</v>
      </c>
      <c r="H27" s="31" t="s">
        <v>317</v>
      </c>
      <c r="I27" s="31" t="s">
        <v>316</v>
      </c>
      <c r="J27" s="31" t="s">
        <v>316</v>
      </c>
      <c r="K27" s="31" t="s">
        <v>316</v>
      </c>
      <c r="L27" s="32" t="str">
        <f t="shared" si="0"/>
        <v>EXCLUDE</v>
      </c>
      <c r="M27" s="32" t="str">
        <f t="shared" si="1"/>
        <v>Digital Twin not core / buzzword</v>
      </c>
      <c r="N27" s="33"/>
      <c r="O27" s="33"/>
      <c r="P27" s="34"/>
      <c r="Q27" s="34"/>
      <c r="R27" s="34"/>
      <c r="S27" s="32" t="str">
        <f t="shared" si="2"/>
        <v/>
      </c>
      <c r="T27" s="32" t="str">
        <f t="shared" si="3"/>
        <v/>
      </c>
      <c r="U27" s="35"/>
      <c r="V27" s="35"/>
      <c r="W27" s="35"/>
      <c r="X27" s="35"/>
      <c r="Y27" s="32" t="str">
        <f t="shared" si="4"/>
        <v/>
      </c>
      <c r="Z27" s="35"/>
      <c r="AA27" s="35"/>
      <c r="AB27" s="35"/>
      <c r="AC27" s="35"/>
      <c r="AD27" s="35"/>
      <c r="AE27" s="35"/>
      <c r="AF27" s="35"/>
      <c r="AG27" s="15" t="s">
        <v>343</v>
      </c>
    </row>
    <row r="28" spans="1:33" ht="22.8" x14ac:dyDescent="0.3">
      <c r="A28" s="30">
        <v>3940</v>
      </c>
      <c r="B28" s="9"/>
      <c r="C28" s="36"/>
      <c r="D28" s="9"/>
      <c r="E28" s="9" t="s">
        <v>763</v>
      </c>
      <c r="F28" s="30" t="s">
        <v>315</v>
      </c>
      <c r="G28" s="31" t="s">
        <v>316</v>
      </c>
      <c r="H28" s="31" t="s">
        <v>317</v>
      </c>
      <c r="I28" s="31" t="s">
        <v>317</v>
      </c>
      <c r="J28" s="31" t="s">
        <v>316</v>
      </c>
      <c r="K28" s="31" t="s">
        <v>316</v>
      </c>
      <c r="L28" s="32" t="str">
        <f t="shared" si="0"/>
        <v>EXCLUDE</v>
      </c>
      <c r="M28" s="32" t="str">
        <f t="shared" si="1"/>
        <v>Digital Twin not core / buzzword</v>
      </c>
      <c r="N28" s="33"/>
      <c r="O28" s="33"/>
      <c r="P28" s="34"/>
      <c r="Q28" s="34"/>
      <c r="R28" s="34"/>
      <c r="S28" s="32" t="str">
        <f t="shared" si="2"/>
        <v/>
      </c>
      <c r="T28" s="32" t="str">
        <f t="shared" si="3"/>
        <v/>
      </c>
      <c r="U28" s="35"/>
      <c r="V28" s="35"/>
      <c r="W28" s="35"/>
      <c r="X28" s="35"/>
      <c r="Y28" s="32" t="str">
        <f t="shared" si="4"/>
        <v/>
      </c>
      <c r="Z28" s="35"/>
      <c r="AA28" s="35"/>
      <c r="AB28" s="35"/>
      <c r="AC28" s="35"/>
      <c r="AD28" s="35"/>
      <c r="AE28" s="35"/>
      <c r="AF28" s="35"/>
      <c r="AG28" s="15" t="s">
        <v>344</v>
      </c>
    </row>
    <row r="29" spans="1:33" ht="57" x14ac:dyDescent="0.3">
      <c r="A29" s="30">
        <v>4037</v>
      </c>
      <c r="B29" s="9" t="s">
        <v>178</v>
      </c>
      <c r="C29" s="36">
        <v>2026</v>
      </c>
      <c r="D29" s="9"/>
      <c r="E29" s="9" t="s">
        <v>764</v>
      </c>
      <c r="F29" s="30" t="s">
        <v>315</v>
      </c>
      <c r="G29" s="31" t="s">
        <v>316</v>
      </c>
      <c r="H29" s="31" t="s">
        <v>316</v>
      </c>
      <c r="I29" s="31" t="s">
        <v>316</v>
      </c>
      <c r="J29" s="31" t="s">
        <v>316</v>
      </c>
      <c r="K29" s="31" t="s">
        <v>316</v>
      </c>
      <c r="L29" s="32" t="str">
        <f t="shared" si="0"/>
        <v>INCLUDE</v>
      </c>
      <c r="M29" s="32" t="str">
        <f t="shared" si="1"/>
        <v/>
      </c>
      <c r="N29" s="33" t="s">
        <v>49</v>
      </c>
      <c r="O29" s="33" t="s">
        <v>49</v>
      </c>
      <c r="P29" s="34" t="s">
        <v>58</v>
      </c>
      <c r="Q29" s="34" t="s">
        <v>49</v>
      </c>
      <c r="R29" s="34" t="s">
        <v>49</v>
      </c>
      <c r="S29" s="32" t="str">
        <f t="shared" si="2"/>
        <v>EXCLUDE</v>
      </c>
      <c r="T29" s="32" t="str">
        <f t="shared" si="3"/>
        <v>Digital Twin mentioned only, not the subject</v>
      </c>
      <c r="U29" s="35" t="s">
        <v>82</v>
      </c>
      <c r="V29" s="35"/>
      <c r="W29" s="35"/>
      <c r="X29" s="35"/>
      <c r="Y29" s="32" t="str">
        <f t="shared" si="4"/>
        <v/>
      </c>
      <c r="Z29" s="35"/>
      <c r="AA29" s="35"/>
      <c r="AB29" s="35"/>
      <c r="AC29" s="35"/>
      <c r="AD29" s="35"/>
      <c r="AE29" s="35"/>
      <c r="AF29" s="35"/>
      <c r="AG29" s="15" t="s">
        <v>345</v>
      </c>
    </row>
    <row r="30" spans="1:33" ht="22.8" x14ac:dyDescent="0.3">
      <c r="A30" s="30">
        <v>3551</v>
      </c>
      <c r="B30" s="9"/>
      <c r="C30" s="36"/>
      <c r="D30" s="9"/>
      <c r="E30" s="9" t="s">
        <v>765</v>
      </c>
      <c r="F30" s="30" t="s">
        <v>314</v>
      </c>
      <c r="G30" s="31" t="s">
        <v>316</v>
      </c>
      <c r="H30" s="31" t="s">
        <v>317</v>
      </c>
      <c r="I30" s="31" t="s">
        <v>316</v>
      </c>
      <c r="J30" s="31" t="s">
        <v>316</v>
      </c>
      <c r="K30" s="31" t="s">
        <v>317</v>
      </c>
      <c r="L30" s="32" t="str">
        <f t="shared" si="0"/>
        <v>EXCLUDE</v>
      </c>
      <c r="M30" s="32" t="str">
        <f t="shared" si="1"/>
        <v>Digital Twin not core / buzzword</v>
      </c>
      <c r="N30" s="33"/>
      <c r="O30" s="33"/>
      <c r="P30" s="34"/>
      <c r="Q30" s="34"/>
      <c r="R30" s="34"/>
      <c r="S30" s="32" t="str">
        <f t="shared" si="2"/>
        <v/>
      </c>
      <c r="T30" s="32" t="str">
        <f t="shared" si="3"/>
        <v/>
      </c>
      <c r="U30" s="35"/>
      <c r="V30" s="35"/>
      <c r="W30" s="35"/>
      <c r="X30" s="35"/>
      <c r="Y30" s="32" t="str">
        <f t="shared" si="4"/>
        <v/>
      </c>
      <c r="Z30" s="35"/>
      <c r="AA30" s="35"/>
      <c r="AB30" s="35"/>
      <c r="AC30" s="35"/>
      <c r="AD30" s="35"/>
      <c r="AE30" s="35"/>
      <c r="AF30" s="35"/>
      <c r="AG30" s="15" t="s">
        <v>346</v>
      </c>
    </row>
    <row r="31" spans="1:33" ht="22.8" x14ac:dyDescent="0.3">
      <c r="A31" s="30">
        <v>3571</v>
      </c>
      <c r="B31" s="9"/>
      <c r="C31" s="36"/>
      <c r="D31" s="9"/>
      <c r="E31" s="9" t="s">
        <v>766</v>
      </c>
      <c r="F31" s="30" t="s">
        <v>314</v>
      </c>
      <c r="G31" s="31" t="s">
        <v>316</v>
      </c>
      <c r="H31" s="31" t="s">
        <v>317</v>
      </c>
      <c r="I31" s="31" t="s">
        <v>317</v>
      </c>
      <c r="J31" s="31" t="s">
        <v>316</v>
      </c>
      <c r="K31" s="31" t="s">
        <v>316</v>
      </c>
      <c r="L31" s="32" t="str">
        <f t="shared" si="0"/>
        <v>EXCLUDE</v>
      </c>
      <c r="M31" s="32" t="str">
        <f t="shared" si="1"/>
        <v>Digital Twin not core / buzzword</v>
      </c>
      <c r="N31" s="33"/>
      <c r="O31" s="33"/>
      <c r="P31" s="34"/>
      <c r="Q31" s="34"/>
      <c r="R31" s="34"/>
      <c r="S31" s="32" t="str">
        <f t="shared" si="2"/>
        <v/>
      </c>
      <c r="T31" s="32" t="str">
        <f t="shared" si="3"/>
        <v/>
      </c>
      <c r="U31" s="35"/>
      <c r="V31" s="35"/>
      <c r="W31" s="35"/>
      <c r="X31" s="35"/>
      <c r="Y31" s="32" t="str">
        <f t="shared" si="4"/>
        <v/>
      </c>
      <c r="Z31" s="35"/>
      <c r="AA31" s="35"/>
      <c r="AB31" s="35"/>
      <c r="AC31" s="35"/>
      <c r="AD31" s="35"/>
      <c r="AE31" s="35"/>
      <c r="AF31" s="35"/>
      <c r="AG31" s="15" t="s">
        <v>347</v>
      </c>
    </row>
    <row r="32" spans="1:33" x14ac:dyDescent="0.3">
      <c r="A32" s="30">
        <v>3707</v>
      </c>
      <c r="B32" s="9"/>
      <c r="C32" s="36"/>
      <c r="D32" s="9"/>
      <c r="E32" s="9" t="s">
        <v>767</v>
      </c>
      <c r="F32" s="30" t="s">
        <v>314</v>
      </c>
      <c r="G32" s="31" t="s">
        <v>317</v>
      </c>
      <c r="H32" s="31" t="s">
        <v>316</v>
      </c>
      <c r="I32" s="31" t="s">
        <v>316</v>
      </c>
      <c r="J32" s="31" t="s">
        <v>316</v>
      </c>
      <c r="K32" s="31" t="s">
        <v>317</v>
      </c>
      <c r="L32" s="32" t="str">
        <f t="shared" si="0"/>
        <v>EXCLUDE</v>
      </c>
      <c r="M32" s="32" t="str">
        <f t="shared" si="1"/>
        <v>Wrong domain (non-AECO)</v>
      </c>
      <c r="N32" s="33"/>
      <c r="O32" s="33"/>
      <c r="P32" s="34"/>
      <c r="Q32" s="34"/>
      <c r="R32" s="34"/>
      <c r="S32" s="32" t="str">
        <f t="shared" si="2"/>
        <v/>
      </c>
      <c r="T32" s="32" t="str">
        <f t="shared" si="3"/>
        <v/>
      </c>
      <c r="U32" s="35"/>
      <c r="V32" s="35"/>
      <c r="W32" s="35"/>
      <c r="X32" s="35"/>
      <c r="Y32" s="32" t="str">
        <f t="shared" si="4"/>
        <v/>
      </c>
      <c r="Z32" s="35"/>
      <c r="AA32" s="35"/>
      <c r="AB32" s="35"/>
      <c r="AC32" s="35"/>
      <c r="AD32" s="35"/>
      <c r="AE32" s="35"/>
      <c r="AF32" s="35"/>
      <c r="AG32" s="15" t="s">
        <v>348</v>
      </c>
    </row>
    <row r="33" spans="1:33" ht="22.8" x14ac:dyDescent="0.3">
      <c r="A33" s="30">
        <v>3613</v>
      </c>
      <c r="B33" s="9"/>
      <c r="C33" s="36"/>
      <c r="D33" s="9"/>
      <c r="E33" s="9" t="s">
        <v>768</v>
      </c>
      <c r="F33" s="30" t="s">
        <v>314</v>
      </c>
      <c r="G33" s="31" t="s">
        <v>316</v>
      </c>
      <c r="H33" s="31" t="s">
        <v>317</v>
      </c>
      <c r="I33" s="31" t="s">
        <v>316</v>
      </c>
      <c r="J33" s="31" t="s">
        <v>316</v>
      </c>
      <c r="K33" s="31" t="s">
        <v>316</v>
      </c>
      <c r="L33" s="32" t="str">
        <f t="shared" si="0"/>
        <v>EXCLUDE</v>
      </c>
      <c r="M33" s="32" t="str">
        <f t="shared" si="1"/>
        <v>Digital Twin not core / buzzword</v>
      </c>
      <c r="N33" s="33"/>
      <c r="O33" s="33"/>
      <c r="P33" s="34"/>
      <c r="Q33" s="34"/>
      <c r="R33" s="34"/>
      <c r="S33" s="32" t="str">
        <f t="shared" si="2"/>
        <v/>
      </c>
      <c r="T33" s="32" t="str">
        <f t="shared" si="3"/>
        <v/>
      </c>
      <c r="U33" s="35"/>
      <c r="V33" s="35"/>
      <c r="W33" s="35"/>
      <c r="X33" s="35"/>
      <c r="Y33" s="32" t="str">
        <f t="shared" si="4"/>
        <v/>
      </c>
      <c r="Z33" s="35"/>
      <c r="AA33" s="35"/>
      <c r="AB33" s="35"/>
      <c r="AC33" s="35"/>
      <c r="AD33" s="35"/>
      <c r="AE33" s="35"/>
      <c r="AF33" s="35"/>
      <c r="AG33" s="15" t="s">
        <v>349</v>
      </c>
    </row>
    <row r="34" spans="1:33" ht="22.8" x14ac:dyDescent="0.3">
      <c r="A34" s="30">
        <v>3645</v>
      </c>
      <c r="B34" s="9"/>
      <c r="C34" s="36"/>
      <c r="D34" s="9"/>
      <c r="E34" s="9" t="s">
        <v>769</v>
      </c>
      <c r="F34" s="30" t="s">
        <v>314</v>
      </c>
      <c r="G34" s="31" t="s">
        <v>316</v>
      </c>
      <c r="H34" s="31" t="s">
        <v>317</v>
      </c>
      <c r="I34" s="31" t="s">
        <v>317</v>
      </c>
      <c r="J34" s="31" t="s">
        <v>316</v>
      </c>
      <c r="K34" s="31" t="s">
        <v>316</v>
      </c>
      <c r="L34" s="32" t="str">
        <f t="shared" si="0"/>
        <v>EXCLUDE</v>
      </c>
      <c r="M34" s="32" t="str">
        <f t="shared" si="1"/>
        <v>Digital Twin not core / buzzword</v>
      </c>
      <c r="N34" s="33"/>
      <c r="O34" s="33"/>
      <c r="P34" s="34"/>
      <c r="Q34" s="34"/>
      <c r="R34" s="34"/>
      <c r="S34" s="32" t="str">
        <f t="shared" si="2"/>
        <v/>
      </c>
      <c r="T34" s="32" t="str">
        <f t="shared" si="3"/>
        <v/>
      </c>
      <c r="U34" s="35"/>
      <c r="V34" s="35"/>
      <c r="W34" s="35"/>
      <c r="X34" s="35"/>
      <c r="Y34" s="32" t="str">
        <f t="shared" si="4"/>
        <v/>
      </c>
      <c r="Z34" s="35"/>
      <c r="AA34" s="35"/>
      <c r="AB34" s="35"/>
      <c r="AC34" s="35"/>
      <c r="AD34" s="35"/>
      <c r="AE34" s="35"/>
      <c r="AF34" s="35"/>
      <c r="AG34" s="15" t="s">
        <v>350</v>
      </c>
    </row>
    <row r="35" spans="1:33" ht="22.8" x14ac:dyDescent="0.3">
      <c r="A35" s="30">
        <v>3807</v>
      </c>
      <c r="B35" s="9"/>
      <c r="C35" s="36"/>
      <c r="D35" s="9"/>
      <c r="E35" s="9" t="s">
        <v>770</v>
      </c>
      <c r="F35" s="30" t="s">
        <v>314</v>
      </c>
      <c r="G35" s="31" t="s">
        <v>316</v>
      </c>
      <c r="H35" s="31" t="s">
        <v>317</v>
      </c>
      <c r="I35" s="31" t="s">
        <v>316</v>
      </c>
      <c r="J35" s="31" t="s">
        <v>316</v>
      </c>
      <c r="K35" s="31" t="s">
        <v>316</v>
      </c>
      <c r="L35" s="32" t="str">
        <f t="shared" si="0"/>
        <v>EXCLUDE</v>
      </c>
      <c r="M35" s="32" t="str">
        <f t="shared" si="1"/>
        <v>Digital Twin not core / buzzword</v>
      </c>
      <c r="N35" s="33"/>
      <c r="O35" s="33"/>
      <c r="P35" s="34"/>
      <c r="Q35" s="34"/>
      <c r="R35" s="34"/>
      <c r="S35" s="32" t="str">
        <f t="shared" si="2"/>
        <v/>
      </c>
      <c r="T35" s="32" t="str">
        <f t="shared" si="3"/>
        <v/>
      </c>
      <c r="U35" s="35"/>
      <c r="V35" s="35"/>
      <c r="W35" s="35"/>
      <c r="X35" s="35"/>
      <c r="Y35" s="32" t="str">
        <f t="shared" si="4"/>
        <v/>
      </c>
      <c r="Z35" s="35"/>
      <c r="AA35" s="35"/>
      <c r="AB35" s="35"/>
      <c r="AC35" s="35"/>
      <c r="AD35" s="35"/>
      <c r="AE35" s="35"/>
      <c r="AF35" s="35"/>
      <c r="AG35" s="15" t="s">
        <v>351</v>
      </c>
    </row>
    <row r="36" spans="1:33" ht="79.8" x14ac:dyDescent="0.3">
      <c r="A36" s="30">
        <v>3595</v>
      </c>
      <c r="B36" s="9" t="s">
        <v>179</v>
      </c>
      <c r="C36" s="36">
        <v>2021</v>
      </c>
      <c r="D36" s="9"/>
      <c r="E36" s="9" t="s">
        <v>771</v>
      </c>
      <c r="F36" s="30" t="s">
        <v>314</v>
      </c>
      <c r="G36" s="31" t="s">
        <v>316</v>
      </c>
      <c r="H36" s="31" t="s">
        <v>316</v>
      </c>
      <c r="I36" s="31" t="s">
        <v>316</v>
      </c>
      <c r="J36" s="31" t="s">
        <v>316</v>
      </c>
      <c r="K36" s="31" t="s">
        <v>316</v>
      </c>
      <c r="L36" s="32" t="str">
        <f t="shared" si="0"/>
        <v>INCLUDE</v>
      </c>
      <c r="M36" s="32" t="str">
        <f t="shared" si="1"/>
        <v/>
      </c>
      <c r="N36" s="33" t="s">
        <v>49</v>
      </c>
      <c r="O36" s="33" t="s">
        <v>49</v>
      </c>
      <c r="P36" s="34" t="s">
        <v>49</v>
      </c>
      <c r="Q36" s="34" t="s">
        <v>49</v>
      </c>
      <c r="R36" s="34" t="s">
        <v>49</v>
      </c>
      <c r="S36" s="32" t="str">
        <f t="shared" si="2"/>
        <v>INCLUDE</v>
      </c>
      <c r="T36" s="32" t="str">
        <f t="shared" si="3"/>
        <v/>
      </c>
      <c r="U36" s="35" t="s">
        <v>52</v>
      </c>
      <c r="V36" s="35">
        <v>0</v>
      </c>
      <c r="W36" s="35">
        <v>0</v>
      </c>
      <c r="X36" s="35">
        <v>1</v>
      </c>
      <c r="Y36" s="32" t="str">
        <f t="shared" si="4"/>
        <v>Single</v>
      </c>
      <c r="Z36" s="35" t="s">
        <v>9</v>
      </c>
      <c r="AA36" s="35" t="s">
        <v>53</v>
      </c>
      <c r="AB36" s="35" t="s">
        <v>91</v>
      </c>
      <c r="AC36" s="35" t="s">
        <v>64</v>
      </c>
      <c r="AD36" s="35" t="s">
        <v>56</v>
      </c>
      <c r="AE36" s="35">
        <v>3</v>
      </c>
      <c r="AF36" s="35" t="s">
        <v>86</v>
      </c>
      <c r="AG36" s="15" t="s">
        <v>352</v>
      </c>
    </row>
    <row r="37" spans="1:33" ht="22.8" x14ac:dyDescent="0.3">
      <c r="A37" s="30">
        <v>3888</v>
      </c>
      <c r="B37" s="9"/>
      <c r="C37" s="36"/>
      <c r="D37" s="9"/>
      <c r="E37" s="9" t="s">
        <v>772</v>
      </c>
      <c r="F37" s="30" t="s">
        <v>315</v>
      </c>
      <c r="G37" s="31" t="s">
        <v>316</v>
      </c>
      <c r="H37" s="31" t="s">
        <v>317</v>
      </c>
      <c r="I37" s="31" t="s">
        <v>317</v>
      </c>
      <c r="J37" s="31" t="s">
        <v>316</v>
      </c>
      <c r="K37" s="31" t="s">
        <v>316</v>
      </c>
      <c r="L37" s="32" t="str">
        <f t="shared" si="0"/>
        <v>EXCLUDE</v>
      </c>
      <c r="M37" s="32" t="str">
        <f t="shared" si="1"/>
        <v>Digital Twin not core / buzzword</v>
      </c>
      <c r="N37" s="33"/>
      <c r="O37" s="33"/>
      <c r="P37" s="34"/>
      <c r="Q37" s="34"/>
      <c r="R37" s="34"/>
      <c r="S37" s="32" t="str">
        <f t="shared" si="2"/>
        <v/>
      </c>
      <c r="T37" s="32" t="str">
        <f t="shared" si="3"/>
        <v/>
      </c>
      <c r="U37" s="35"/>
      <c r="V37" s="35"/>
      <c r="W37" s="35"/>
      <c r="X37" s="35"/>
      <c r="Y37" s="32" t="str">
        <f t="shared" si="4"/>
        <v/>
      </c>
      <c r="Z37" s="35"/>
      <c r="AA37" s="35"/>
      <c r="AB37" s="35"/>
      <c r="AC37" s="35"/>
      <c r="AD37" s="35"/>
      <c r="AE37" s="35"/>
      <c r="AF37" s="35"/>
      <c r="AG37" s="15" t="s">
        <v>353</v>
      </c>
    </row>
    <row r="38" spans="1:33" ht="22.8" x14ac:dyDescent="0.3">
      <c r="A38" s="30">
        <v>3869</v>
      </c>
      <c r="B38" s="9"/>
      <c r="C38" s="36"/>
      <c r="D38" s="9"/>
      <c r="E38" s="9" t="s">
        <v>773</v>
      </c>
      <c r="F38" s="30" t="s">
        <v>314</v>
      </c>
      <c r="G38" s="31" t="s">
        <v>317</v>
      </c>
      <c r="H38" s="31" t="s">
        <v>317</v>
      </c>
      <c r="I38" s="31" t="s">
        <v>317</v>
      </c>
      <c r="J38" s="31" t="s">
        <v>316</v>
      </c>
      <c r="K38" s="31" t="s">
        <v>316</v>
      </c>
      <c r="L38" s="32" t="str">
        <f t="shared" si="0"/>
        <v>EXCLUDE</v>
      </c>
      <c r="M38" s="32" t="str">
        <f t="shared" si="1"/>
        <v>Wrong domain (non-AECO)</v>
      </c>
      <c r="N38" s="33"/>
      <c r="O38" s="33"/>
      <c r="P38" s="34"/>
      <c r="Q38" s="34"/>
      <c r="R38" s="34"/>
      <c r="S38" s="32" t="str">
        <f t="shared" si="2"/>
        <v/>
      </c>
      <c r="T38" s="32" t="str">
        <f t="shared" si="3"/>
        <v/>
      </c>
      <c r="U38" s="35"/>
      <c r="V38" s="35"/>
      <c r="W38" s="35"/>
      <c r="X38" s="35"/>
      <c r="Y38" s="32" t="str">
        <f t="shared" si="4"/>
        <v/>
      </c>
      <c r="Z38" s="35"/>
      <c r="AA38" s="35"/>
      <c r="AB38" s="35"/>
      <c r="AC38" s="35"/>
      <c r="AD38" s="35"/>
      <c r="AE38" s="35"/>
      <c r="AF38" s="35"/>
      <c r="AG38" s="15" t="s">
        <v>354</v>
      </c>
    </row>
    <row r="39" spans="1:33" ht="22.8" x14ac:dyDescent="0.3">
      <c r="A39" s="30">
        <v>3702</v>
      </c>
      <c r="B39" s="9"/>
      <c r="C39" s="36"/>
      <c r="D39" s="9"/>
      <c r="E39" s="9" t="s">
        <v>774</v>
      </c>
      <c r="F39" s="30" t="s">
        <v>314</v>
      </c>
      <c r="G39" s="31" t="s">
        <v>316</v>
      </c>
      <c r="H39" s="31" t="s">
        <v>317</v>
      </c>
      <c r="I39" s="31" t="s">
        <v>316</v>
      </c>
      <c r="J39" s="31" t="s">
        <v>316</v>
      </c>
      <c r="K39" s="31" t="s">
        <v>316</v>
      </c>
      <c r="L39" s="32" t="str">
        <f t="shared" si="0"/>
        <v>EXCLUDE</v>
      </c>
      <c r="M39" s="32" t="str">
        <f t="shared" si="1"/>
        <v>Digital Twin not core / buzzword</v>
      </c>
      <c r="N39" s="33"/>
      <c r="O39" s="33"/>
      <c r="P39" s="34"/>
      <c r="Q39" s="34"/>
      <c r="R39" s="34"/>
      <c r="S39" s="32" t="str">
        <f t="shared" si="2"/>
        <v/>
      </c>
      <c r="T39" s="32" t="str">
        <f t="shared" si="3"/>
        <v/>
      </c>
      <c r="U39" s="35"/>
      <c r="V39" s="35"/>
      <c r="W39" s="35"/>
      <c r="X39" s="35"/>
      <c r="Y39" s="32" t="str">
        <f t="shared" si="4"/>
        <v/>
      </c>
      <c r="Z39" s="35"/>
      <c r="AA39" s="35"/>
      <c r="AB39" s="35"/>
      <c r="AC39" s="35"/>
      <c r="AD39" s="35"/>
      <c r="AE39" s="35"/>
      <c r="AF39" s="35"/>
      <c r="AG39" s="15" t="s">
        <v>355</v>
      </c>
    </row>
    <row r="40" spans="1:33" ht="22.8" x14ac:dyDescent="0.3">
      <c r="A40" s="30">
        <v>3901</v>
      </c>
      <c r="B40" s="9"/>
      <c r="C40" s="36"/>
      <c r="D40" s="9"/>
      <c r="E40" s="9" t="s">
        <v>775</v>
      </c>
      <c r="F40" s="30" t="s">
        <v>315</v>
      </c>
      <c r="G40" s="31" t="s">
        <v>316</v>
      </c>
      <c r="H40" s="31" t="s">
        <v>317</v>
      </c>
      <c r="I40" s="31" t="s">
        <v>317</v>
      </c>
      <c r="J40" s="31" t="s">
        <v>316</v>
      </c>
      <c r="K40" s="31" t="s">
        <v>316</v>
      </c>
      <c r="L40" s="32" t="str">
        <f t="shared" si="0"/>
        <v>EXCLUDE</v>
      </c>
      <c r="M40" s="32" t="str">
        <f t="shared" si="1"/>
        <v>Digital Twin not core / buzzword</v>
      </c>
      <c r="N40" s="33"/>
      <c r="O40" s="33"/>
      <c r="P40" s="34"/>
      <c r="Q40" s="34"/>
      <c r="R40" s="34"/>
      <c r="S40" s="32" t="str">
        <f t="shared" si="2"/>
        <v/>
      </c>
      <c r="T40" s="32" t="str">
        <f t="shared" si="3"/>
        <v/>
      </c>
      <c r="U40" s="35"/>
      <c r="V40" s="35"/>
      <c r="W40" s="35"/>
      <c r="X40" s="35"/>
      <c r="Y40" s="32" t="str">
        <f t="shared" si="4"/>
        <v/>
      </c>
      <c r="Z40" s="35"/>
      <c r="AA40" s="35"/>
      <c r="AB40" s="35"/>
      <c r="AC40" s="35"/>
      <c r="AD40" s="35"/>
      <c r="AE40" s="35"/>
      <c r="AF40" s="35"/>
      <c r="AG40" s="15" t="s">
        <v>356</v>
      </c>
    </row>
    <row r="41" spans="1:33" ht="22.8" x14ac:dyDescent="0.3">
      <c r="A41" s="30">
        <v>3889</v>
      </c>
      <c r="B41" s="9"/>
      <c r="C41" s="36"/>
      <c r="D41" s="9"/>
      <c r="E41" s="9" t="s">
        <v>776</v>
      </c>
      <c r="F41" s="30" t="s">
        <v>315</v>
      </c>
      <c r="G41" s="31" t="s">
        <v>316</v>
      </c>
      <c r="H41" s="31" t="s">
        <v>317</v>
      </c>
      <c r="I41" s="31" t="s">
        <v>316</v>
      </c>
      <c r="J41" s="31" t="s">
        <v>316</v>
      </c>
      <c r="K41" s="31" t="s">
        <v>316</v>
      </c>
      <c r="L41" s="32" t="str">
        <f t="shared" si="0"/>
        <v>EXCLUDE</v>
      </c>
      <c r="M41" s="32" t="str">
        <f t="shared" si="1"/>
        <v>Digital Twin not core / buzzword</v>
      </c>
      <c r="N41" s="33"/>
      <c r="O41" s="33"/>
      <c r="P41" s="34"/>
      <c r="Q41" s="34"/>
      <c r="R41" s="34"/>
      <c r="S41" s="32" t="str">
        <f t="shared" si="2"/>
        <v/>
      </c>
      <c r="T41" s="32" t="str">
        <f t="shared" si="3"/>
        <v/>
      </c>
      <c r="U41" s="35"/>
      <c r="V41" s="35"/>
      <c r="W41" s="35"/>
      <c r="X41" s="35"/>
      <c r="Y41" s="32" t="str">
        <f t="shared" si="4"/>
        <v/>
      </c>
      <c r="Z41" s="35"/>
      <c r="AA41" s="35"/>
      <c r="AB41" s="35"/>
      <c r="AC41" s="35"/>
      <c r="AD41" s="35"/>
      <c r="AE41" s="35"/>
      <c r="AF41" s="35"/>
      <c r="AG41" s="15" t="s">
        <v>357</v>
      </c>
    </row>
    <row r="42" spans="1:33" ht="22.8" x14ac:dyDescent="0.3">
      <c r="A42" s="30">
        <v>3555</v>
      </c>
      <c r="B42" s="9"/>
      <c r="C42" s="36"/>
      <c r="D42" s="9"/>
      <c r="E42" s="9" t="s">
        <v>777</v>
      </c>
      <c r="F42" s="30" t="s">
        <v>314</v>
      </c>
      <c r="G42" s="31" t="s">
        <v>316</v>
      </c>
      <c r="H42" s="31" t="s">
        <v>317</v>
      </c>
      <c r="I42" s="31" t="s">
        <v>317</v>
      </c>
      <c r="J42" s="31" t="s">
        <v>316</v>
      </c>
      <c r="K42" s="31" t="s">
        <v>316</v>
      </c>
      <c r="L42" s="32" t="str">
        <f t="shared" si="0"/>
        <v>EXCLUDE</v>
      </c>
      <c r="M42" s="32" t="str">
        <f t="shared" si="1"/>
        <v>Digital Twin not core / buzzword</v>
      </c>
      <c r="N42" s="33"/>
      <c r="O42" s="33"/>
      <c r="P42" s="34"/>
      <c r="Q42" s="34"/>
      <c r="R42" s="34"/>
      <c r="S42" s="32" t="str">
        <f t="shared" si="2"/>
        <v/>
      </c>
      <c r="T42" s="32" t="str">
        <f t="shared" si="3"/>
        <v/>
      </c>
      <c r="U42" s="35"/>
      <c r="V42" s="35"/>
      <c r="W42" s="35"/>
      <c r="X42" s="35"/>
      <c r="Y42" s="32" t="str">
        <f t="shared" si="4"/>
        <v/>
      </c>
      <c r="Z42" s="35"/>
      <c r="AA42" s="35"/>
      <c r="AB42" s="35"/>
      <c r="AC42" s="35"/>
      <c r="AD42" s="35"/>
      <c r="AE42" s="35"/>
      <c r="AF42" s="35"/>
      <c r="AG42" s="15" t="s">
        <v>358</v>
      </c>
    </row>
    <row r="43" spans="1:33" ht="22.8" x14ac:dyDescent="0.3">
      <c r="A43" s="30">
        <v>3658</v>
      </c>
      <c r="B43" s="9" t="s">
        <v>180</v>
      </c>
      <c r="C43" s="36">
        <v>2026</v>
      </c>
      <c r="D43" s="9"/>
      <c r="E43" s="9" t="s">
        <v>778</v>
      </c>
      <c r="F43" s="30" t="s">
        <v>314</v>
      </c>
      <c r="G43" s="31" t="s">
        <v>316</v>
      </c>
      <c r="H43" s="31" t="s">
        <v>316</v>
      </c>
      <c r="I43" s="31" t="s">
        <v>316</v>
      </c>
      <c r="J43" s="31" t="s">
        <v>316</v>
      </c>
      <c r="K43" s="31" t="s">
        <v>316</v>
      </c>
      <c r="L43" s="32" t="str">
        <f t="shared" si="0"/>
        <v>INCLUDE</v>
      </c>
      <c r="M43" s="32" t="str">
        <f t="shared" si="1"/>
        <v/>
      </c>
      <c r="N43" s="33" t="s">
        <v>58</v>
      </c>
      <c r="O43" s="33" t="s">
        <v>58</v>
      </c>
      <c r="P43" s="34"/>
      <c r="Q43" s="34"/>
      <c r="R43" s="34"/>
      <c r="S43" s="32" t="str">
        <f t="shared" si="2"/>
        <v/>
      </c>
      <c r="T43" s="32" t="str">
        <f t="shared" si="3"/>
        <v/>
      </c>
      <c r="U43" s="35"/>
      <c r="V43" s="35"/>
      <c r="W43" s="35"/>
      <c r="X43" s="35"/>
      <c r="Y43" s="32" t="str">
        <f t="shared" si="4"/>
        <v/>
      </c>
      <c r="Z43" s="35"/>
      <c r="AA43" s="35"/>
      <c r="AB43" s="35"/>
      <c r="AC43" s="35"/>
      <c r="AD43" s="35"/>
      <c r="AE43" s="35"/>
      <c r="AF43" s="35"/>
      <c r="AG43" s="15" t="s">
        <v>359</v>
      </c>
    </row>
    <row r="44" spans="1:33" ht="22.8" x14ac:dyDescent="0.3">
      <c r="A44" s="30">
        <v>3958</v>
      </c>
      <c r="B44" s="9"/>
      <c r="C44" s="36"/>
      <c r="D44" s="9"/>
      <c r="E44" s="9" t="s">
        <v>779</v>
      </c>
      <c r="F44" s="30" t="s">
        <v>315</v>
      </c>
      <c r="G44" s="31" t="s">
        <v>316</v>
      </c>
      <c r="H44" s="31" t="s">
        <v>317</v>
      </c>
      <c r="I44" s="31" t="s">
        <v>317</v>
      </c>
      <c r="J44" s="31" t="s">
        <v>316</v>
      </c>
      <c r="K44" s="31" t="s">
        <v>316</v>
      </c>
      <c r="L44" s="32" t="str">
        <f t="shared" si="0"/>
        <v>EXCLUDE</v>
      </c>
      <c r="M44" s="32" t="str">
        <f t="shared" si="1"/>
        <v>Digital Twin not core / buzzword</v>
      </c>
      <c r="N44" s="33"/>
      <c r="O44" s="33"/>
      <c r="P44" s="34"/>
      <c r="Q44" s="34"/>
      <c r="R44" s="34"/>
      <c r="S44" s="32" t="str">
        <f t="shared" si="2"/>
        <v/>
      </c>
      <c r="T44" s="32" t="str">
        <f t="shared" si="3"/>
        <v/>
      </c>
      <c r="U44" s="35"/>
      <c r="V44" s="35"/>
      <c r="W44" s="35"/>
      <c r="X44" s="35"/>
      <c r="Y44" s="32" t="str">
        <f t="shared" si="4"/>
        <v/>
      </c>
      <c r="Z44" s="35"/>
      <c r="AA44" s="35"/>
      <c r="AB44" s="35"/>
      <c r="AC44" s="35"/>
      <c r="AD44" s="35"/>
      <c r="AE44" s="35"/>
      <c r="AF44" s="35"/>
      <c r="AG44" s="15" t="s">
        <v>360</v>
      </c>
    </row>
    <row r="45" spans="1:33" ht="79.8" x14ac:dyDescent="0.3">
      <c r="A45" s="30">
        <v>3936</v>
      </c>
      <c r="B45" s="9" t="s">
        <v>181</v>
      </c>
      <c r="C45" s="36">
        <v>2024</v>
      </c>
      <c r="D45" s="9"/>
      <c r="E45" s="9" t="s">
        <v>780</v>
      </c>
      <c r="F45" s="30" t="s">
        <v>315</v>
      </c>
      <c r="G45" s="31" t="s">
        <v>316</v>
      </c>
      <c r="H45" s="31" t="s">
        <v>316</v>
      </c>
      <c r="I45" s="31" t="s">
        <v>316</v>
      </c>
      <c r="J45" s="31" t="s">
        <v>316</v>
      </c>
      <c r="K45" s="31" t="s">
        <v>316</v>
      </c>
      <c r="L45" s="32" t="str">
        <f t="shared" si="0"/>
        <v>INCLUDE</v>
      </c>
      <c r="M45" s="32" t="str">
        <f t="shared" si="1"/>
        <v/>
      </c>
      <c r="N45" s="33" t="s">
        <v>49</v>
      </c>
      <c r="O45" s="33" t="s">
        <v>49</v>
      </c>
      <c r="P45" s="34" t="s">
        <v>49</v>
      </c>
      <c r="Q45" s="34" t="s">
        <v>49</v>
      </c>
      <c r="R45" s="34" t="s">
        <v>49</v>
      </c>
      <c r="S45" s="32" t="str">
        <f t="shared" si="2"/>
        <v>INCLUDE</v>
      </c>
      <c r="T45" s="32" t="str">
        <f t="shared" si="3"/>
        <v/>
      </c>
      <c r="U45" s="35" t="s">
        <v>61</v>
      </c>
      <c r="V45" s="35">
        <v>0</v>
      </c>
      <c r="W45" s="35">
        <v>1</v>
      </c>
      <c r="X45" s="35">
        <v>0</v>
      </c>
      <c r="Y45" s="32" t="str">
        <f t="shared" si="4"/>
        <v>Single</v>
      </c>
      <c r="Z45" s="35" t="s">
        <v>69</v>
      </c>
      <c r="AA45" s="35" t="s">
        <v>53</v>
      </c>
      <c r="AB45" s="35" t="s">
        <v>92</v>
      </c>
      <c r="AC45" s="35" t="s">
        <v>64</v>
      </c>
      <c r="AD45" s="35" t="s">
        <v>72</v>
      </c>
      <c r="AE45" s="35">
        <v>4</v>
      </c>
      <c r="AF45" s="35" t="s">
        <v>57</v>
      </c>
      <c r="AG45" s="15" t="s">
        <v>361</v>
      </c>
    </row>
    <row r="46" spans="1:33" ht="45.6" x14ac:dyDescent="0.3">
      <c r="A46" s="30">
        <v>3795</v>
      </c>
      <c r="B46" s="9" t="s">
        <v>182</v>
      </c>
      <c r="C46" s="36">
        <v>2025</v>
      </c>
      <c r="D46" s="9"/>
      <c r="E46" s="9" t="s">
        <v>781</v>
      </c>
      <c r="F46" s="30" t="s">
        <v>314</v>
      </c>
      <c r="G46" s="31" t="s">
        <v>316</v>
      </c>
      <c r="H46" s="31" t="s">
        <v>316</v>
      </c>
      <c r="I46" s="31" t="s">
        <v>316</v>
      </c>
      <c r="J46" s="31" t="s">
        <v>316</v>
      </c>
      <c r="K46" s="31" t="s">
        <v>316</v>
      </c>
      <c r="L46" s="32" t="str">
        <f t="shared" si="0"/>
        <v>INCLUDE</v>
      </c>
      <c r="M46" s="32" t="str">
        <f t="shared" si="1"/>
        <v/>
      </c>
      <c r="N46" s="33" t="s">
        <v>49</v>
      </c>
      <c r="O46" s="33" t="s">
        <v>49</v>
      </c>
      <c r="P46" s="34" t="s">
        <v>49</v>
      </c>
      <c r="Q46" s="34" t="s">
        <v>49</v>
      </c>
      <c r="R46" s="34" t="s">
        <v>49</v>
      </c>
      <c r="S46" s="32" t="str">
        <f t="shared" si="2"/>
        <v>INCLUDE</v>
      </c>
      <c r="T46" s="32" t="str">
        <f t="shared" si="3"/>
        <v/>
      </c>
      <c r="U46" s="35" t="s">
        <v>61</v>
      </c>
      <c r="V46" s="35">
        <v>0</v>
      </c>
      <c r="W46" s="35">
        <v>0</v>
      </c>
      <c r="X46" s="35">
        <v>1</v>
      </c>
      <c r="Y46" s="32" t="str">
        <f t="shared" si="4"/>
        <v>Single</v>
      </c>
      <c r="Z46" s="35" t="s">
        <v>9</v>
      </c>
      <c r="AA46" s="35" t="s">
        <v>53</v>
      </c>
      <c r="AB46" s="35" t="s">
        <v>88</v>
      </c>
      <c r="AC46" s="35" t="s">
        <v>64</v>
      </c>
      <c r="AD46" s="35" t="s">
        <v>72</v>
      </c>
      <c r="AE46" s="35">
        <v>4</v>
      </c>
      <c r="AF46" s="35" t="s">
        <v>80</v>
      </c>
      <c r="AG46" s="15" t="s">
        <v>362</v>
      </c>
    </row>
    <row r="47" spans="1:33" ht="102.6" x14ac:dyDescent="0.3">
      <c r="A47" s="30">
        <v>3998</v>
      </c>
      <c r="B47" s="9" t="s">
        <v>183</v>
      </c>
      <c r="C47" s="36">
        <v>2024</v>
      </c>
      <c r="D47" s="9"/>
      <c r="E47" s="9" t="s">
        <v>782</v>
      </c>
      <c r="F47" s="30" t="s">
        <v>315</v>
      </c>
      <c r="G47" s="31" t="s">
        <v>316</v>
      </c>
      <c r="H47" s="31" t="s">
        <v>316</v>
      </c>
      <c r="I47" s="31" t="s">
        <v>316</v>
      </c>
      <c r="J47" s="31" t="s">
        <v>316</v>
      </c>
      <c r="K47" s="31" t="s">
        <v>316</v>
      </c>
      <c r="L47" s="32" t="str">
        <f t="shared" si="0"/>
        <v>INCLUDE</v>
      </c>
      <c r="M47" s="32" t="str">
        <f t="shared" si="1"/>
        <v/>
      </c>
      <c r="N47" s="33" t="s">
        <v>49</v>
      </c>
      <c r="O47" s="33" t="s">
        <v>49</v>
      </c>
      <c r="P47" s="34" t="s">
        <v>49</v>
      </c>
      <c r="Q47" s="34" t="s">
        <v>49</v>
      </c>
      <c r="R47" s="34" t="s">
        <v>49</v>
      </c>
      <c r="S47" s="32" t="str">
        <f t="shared" si="2"/>
        <v>INCLUDE</v>
      </c>
      <c r="T47" s="32" t="str">
        <f t="shared" si="3"/>
        <v/>
      </c>
      <c r="U47" s="35" t="s">
        <v>52</v>
      </c>
      <c r="V47" s="35">
        <v>0</v>
      </c>
      <c r="W47" s="35">
        <v>1</v>
      </c>
      <c r="X47" s="35">
        <v>0</v>
      </c>
      <c r="Y47" s="32" t="str">
        <f t="shared" si="4"/>
        <v>Single</v>
      </c>
      <c r="Z47" s="35" t="s">
        <v>11</v>
      </c>
      <c r="AA47" s="35" t="s">
        <v>53</v>
      </c>
      <c r="AB47" s="35" t="s">
        <v>73</v>
      </c>
      <c r="AC47" s="35" t="s">
        <v>64</v>
      </c>
      <c r="AD47" s="35" t="s">
        <v>72</v>
      </c>
      <c r="AE47" s="35">
        <v>4</v>
      </c>
      <c r="AF47" s="35" t="s">
        <v>73</v>
      </c>
      <c r="AG47" s="15" t="s">
        <v>363</v>
      </c>
    </row>
    <row r="48" spans="1:33" ht="114" x14ac:dyDescent="0.3">
      <c r="A48" s="30">
        <v>3984</v>
      </c>
      <c r="B48" s="9" t="s">
        <v>184</v>
      </c>
      <c r="C48" s="36">
        <v>2026</v>
      </c>
      <c r="D48" s="9"/>
      <c r="E48" s="9" t="s">
        <v>783</v>
      </c>
      <c r="F48" s="30" t="s">
        <v>315</v>
      </c>
      <c r="G48" s="31" t="s">
        <v>316</v>
      </c>
      <c r="H48" s="31" t="s">
        <v>316</v>
      </c>
      <c r="I48" s="31" t="s">
        <v>316</v>
      </c>
      <c r="J48" s="31" t="s">
        <v>316</v>
      </c>
      <c r="K48" s="31" t="s">
        <v>316</v>
      </c>
      <c r="L48" s="32" t="str">
        <f t="shared" si="0"/>
        <v>INCLUDE</v>
      </c>
      <c r="M48" s="32" t="str">
        <f t="shared" si="1"/>
        <v/>
      </c>
      <c r="N48" s="33" t="s">
        <v>49</v>
      </c>
      <c r="O48" s="33" t="s">
        <v>49</v>
      </c>
      <c r="P48" s="34" t="s">
        <v>49</v>
      </c>
      <c r="Q48" s="34" t="s">
        <v>49</v>
      </c>
      <c r="R48" s="34" t="s">
        <v>49</v>
      </c>
      <c r="S48" s="32" t="str">
        <f t="shared" si="2"/>
        <v>INCLUDE</v>
      </c>
      <c r="T48" s="32" t="str">
        <f t="shared" si="3"/>
        <v/>
      </c>
      <c r="U48" s="35" t="s">
        <v>61</v>
      </c>
      <c r="V48" s="35">
        <v>0</v>
      </c>
      <c r="W48" s="35">
        <v>1</v>
      </c>
      <c r="X48" s="35">
        <v>0</v>
      </c>
      <c r="Y48" s="32" t="str">
        <f t="shared" si="4"/>
        <v>Single</v>
      </c>
      <c r="Z48" s="35" t="s">
        <v>9</v>
      </c>
      <c r="AA48" s="35" t="s">
        <v>70</v>
      </c>
      <c r="AB48" s="35" t="s">
        <v>78</v>
      </c>
      <c r="AC48" s="35" t="s">
        <v>64</v>
      </c>
      <c r="AD48" s="35" t="s">
        <v>72</v>
      </c>
      <c r="AE48" s="35">
        <v>4</v>
      </c>
      <c r="AF48" s="35" t="s">
        <v>84</v>
      </c>
      <c r="AG48" s="15" t="s">
        <v>364</v>
      </c>
    </row>
    <row r="49" spans="1:33" ht="22.8" x14ac:dyDescent="0.3">
      <c r="A49" s="30">
        <v>3601</v>
      </c>
      <c r="B49" s="9"/>
      <c r="C49" s="36"/>
      <c r="D49" s="9"/>
      <c r="E49" s="9" t="s">
        <v>784</v>
      </c>
      <c r="F49" s="30" t="s">
        <v>314</v>
      </c>
      <c r="G49" s="31" t="s">
        <v>316</v>
      </c>
      <c r="H49" s="31" t="s">
        <v>316</v>
      </c>
      <c r="I49" s="31" t="s">
        <v>316</v>
      </c>
      <c r="J49" s="31" t="s">
        <v>316</v>
      </c>
      <c r="K49" s="31" t="s">
        <v>317</v>
      </c>
      <c r="L49" s="32" t="str">
        <f t="shared" si="0"/>
        <v>EXCLUDE</v>
      </c>
      <c r="M49" s="32" t="str">
        <f t="shared" si="1"/>
        <v>Non-English</v>
      </c>
      <c r="N49" s="33"/>
      <c r="O49" s="33"/>
      <c r="P49" s="34"/>
      <c r="Q49" s="34"/>
      <c r="R49" s="34"/>
      <c r="S49" s="32" t="str">
        <f t="shared" si="2"/>
        <v/>
      </c>
      <c r="T49" s="32" t="str">
        <f t="shared" si="3"/>
        <v/>
      </c>
      <c r="U49" s="35"/>
      <c r="V49" s="35"/>
      <c r="W49" s="35"/>
      <c r="X49" s="35"/>
      <c r="Y49" s="32" t="str">
        <f t="shared" si="4"/>
        <v/>
      </c>
      <c r="Z49" s="35"/>
      <c r="AA49" s="35"/>
      <c r="AB49" s="35"/>
      <c r="AC49" s="35"/>
      <c r="AD49" s="35"/>
      <c r="AE49" s="35"/>
      <c r="AF49" s="35"/>
      <c r="AG49" s="15" t="s">
        <v>365</v>
      </c>
    </row>
    <row r="50" spans="1:33" ht="45.6" x14ac:dyDescent="0.3">
      <c r="A50" s="30">
        <v>3911</v>
      </c>
      <c r="B50" s="9" t="s">
        <v>185</v>
      </c>
      <c r="C50" s="36">
        <v>2025</v>
      </c>
      <c r="D50" s="9"/>
      <c r="E50" s="9" t="s">
        <v>785</v>
      </c>
      <c r="F50" s="30" t="s">
        <v>315</v>
      </c>
      <c r="G50" s="31" t="s">
        <v>316</v>
      </c>
      <c r="H50" s="31" t="s">
        <v>316</v>
      </c>
      <c r="I50" s="31" t="s">
        <v>316</v>
      </c>
      <c r="J50" s="31" t="s">
        <v>316</v>
      </c>
      <c r="K50" s="31" t="s">
        <v>316</v>
      </c>
      <c r="L50" s="32" t="str">
        <f t="shared" si="0"/>
        <v>INCLUDE</v>
      </c>
      <c r="M50" s="32" t="str">
        <f t="shared" si="1"/>
        <v/>
      </c>
      <c r="N50" s="33" t="s">
        <v>49</v>
      </c>
      <c r="O50" s="33" t="s">
        <v>49</v>
      </c>
      <c r="P50" s="34" t="s">
        <v>49</v>
      </c>
      <c r="Q50" s="34" t="s">
        <v>49</v>
      </c>
      <c r="R50" s="34" t="s">
        <v>49</v>
      </c>
      <c r="S50" s="32" t="str">
        <f t="shared" si="2"/>
        <v>INCLUDE</v>
      </c>
      <c r="T50" s="32" t="str">
        <f t="shared" si="3"/>
        <v/>
      </c>
      <c r="U50" s="35" t="s">
        <v>68</v>
      </c>
      <c r="V50" s="35">
        <v>0</v>
      </c>
      <c r="W50" s="35">
        <v>1</v>
      </c>
      <c r="X50" s="35">
        <v>0</v>
      </c>
      <c r="Y50" s="32" t="str">
        <f t="shared" si="4"/>
        <v>Single</v>
      </c>
      <c r="Z50" s="35" t="s">
        <v>9</v>
      </c>
      <c r="AA50" s="35" t="s">
        <v>53</v>
      </c>
      <c r="AB50" s="35" t="s">
        <v>89</v>
      </c>
      <c r="AC50" s="35" t="s">
        <v>64</v>
      </c>
      <c r="AD50" s="35" t="s">
        <v>72</v>
      </c>
      <c r="AE50" s="35">
        <v>4</v>
      </c>
      <c r="AF50" s="35" t="s">
        <v>84</v>
      </c>
      <c r="AG50" s="15" t="s">
        <v>366</v>
      </c>
    </row>
    <row r="51" spans="1:33" ht="57" x14ac:dyDescent="0.3">
      <c r="A51" s="30">
        <v>3953</v>
      </c>
      <c r="B51" s="9" t="s">
        <v>186</v>
      </c>
      <c r="C51" s="36">
        <v>2026</v>
      </c>
      <c r="D51" s="9"/>
      <c r="E51" s="9" t="s">
        <v>786</v>
      </c>
      <c r="F51" s="30" t="s">
        <v>315</v>
      </c>
      <c r="G51" s="31" t="s">
        <v>316</v>
      </c>
      <c r="H51" s="31" t="s">
        <v>316</v>
      </c>
      <c r="I51" s="31" t="s">
        <v>316</v>
      </c>
      <c r="J51" s="31" t="s">
        <v>316</v>
      </c>
      <c r="K51" s="31" t="s">
        <v>316</v>
      </c>
      <c r="L51" s="32" t="str">
        <f t="shared" si="0"/>
        <v>INCLUDE</v>
      </c>
      <c r="M51" s="32" t="str">
        <f t="shared" si="1"/>
        <v/>
      </c>
      <c r="N51" s="33" t="s">
        <v>49</v>
      </c>
      <c r="O51" s="33" t="s">
        <v>49</v>
      </c>
      <c r="P51" s="34" t="s">
        <v>49</v>
      </c>
      <c r="Q51" s="34" t="s">
        <v>49</v>
      </c>
      <c r="R51" s="34" t="s">
        <v>49</v>
      </c>
      <c r="S51" s="32" t="str">
        <f t="shared" si="2"/>
        <v>INCLUDE</v>
      </c>
      <c r="T51" s="32" t="str">
        <f t="shared" si="3"/>
        <v/>
      </c>
      <c r="U51" s="35" t="s">
        <v>68</v>
      </c>
      <c r="V51" s="35">
        <v>0</v>
      </c>
      <c r="W51" s="35">
        <v>1</v>
      </c>
      <c r="X51" s="35">
        <v>0</v>
      </c>
      <c r="Y51" s="32" t="str">
        <f t="shared" si="4"/>
        <v>Single</v>
      </c>
      <c r="Z51" s="35" t="s">
        <v>9</v>
      </c>
      <c r="AA51" s="35" t="s">
        <v>62</v>
      </c>
      <c r="AB51" s="35" t="s">
        <v>92</v>
      </c>
      <c r="AC51" s="35" t="s">
        <v>64</v>
      </c>
      <c r="AD51" s="35" t="s">
        <v>72</v>
      </c>
      <c r="AE51" s="35">
        <v>4</v>
      </c>
      <c r="AF51" s="35" t="s">
        <v>80</v>
      </c>
      <c r="AG51" s="15" t="s">
        <v>367</v>
      </c>
    </row>
    <row r="52" spans="1:33" x14ac:dyDescent="0.3">
      <c r="A52" s="30">
        <v>3873</v>
      </c>
      <c r="B52" s="9"/>
      <c r="C52" s="36"/>
      <c r="D52" s="9"/>
      <c r="E52" s="9" t="s">
        <v>787</v>
      </c>
      <c r="F52" s="30" t="s">
        <v>314</v>
      </c>
      <c r="G52" s="31" t="s">
        <v>317</v>
      </c>
      <c r="H52" s="31" t="s">
        <v>316</v>
      </c>
      <c r="I52" s="31" t="s">
        <v>316</v>
      </c>
      <c r="J52" s="31" t="s">
        <v>316</v>
      </c>
      <c r="K52" s="31" t="s">
        <v>317</v>
      </c>
      <c r="L52" s="32" t="str">
        <f t="shared" si="0"/>
        <v>EXCLUDE</v>
      </c>
      <c r="M52" s="32" t="str">
        <f t="shared" si="1"/>
        <v>Wrong domain (non-AECO)</v>
      </c>
      <c r="N52" s="33"/>
      <c r="O52" s="33"/>
      <c r="P52" s="34"/>
      <c r="Q52" s="34"/>
      <c r="R52" s="34"/>
      <c r="S52" s="32" t="str">
        <f t="shared" si="2"/>
        <v/>
      </c>
      <c r="T52" s="32" t="str">
        <f t="shared" si="3"/>
        <v/>
      </c>
      <c r="U52" s="35"/>
      <c r="V52" s="35"/>
      <c r="W52" s="35"/>
      <c r="X52" s="35"/>
      <c r="Y52" s="32" t="str">
        <f t="shared" si="4"/>
        <v/>
      </c>
      <c r="Z52" s="35"/>
      <c r="AA52" s="35"/>
      <c r="AB52" s="35"/>
      <c r="AC52" s="35"/>
      <c r="AD52" s="35"/>
      <c r="AE52" s="35"/>
      <c r="AF52" s="35"/>
      <c r="AG52" s="15" t="s">
        <v>368</v>
      </c>
    </row>
    <row r="53" spans="1:33" ht="22.8" x14ac:dyDescent="0.3">
      <c r="A53" s="30">
        <v>3745</v>
      </c>
      <c r="B53" s="9"/>
      <c r="C53" s="36"/>
      <c r="D53" s="9"/>
      <c r="E53" s="9" t="s">
        <v>788</v>
      </c>
      <c r="F53" s="30" t="s">
        <v>314</v>
      </c>
      <c r="G53" s="31" t="s">
        <v>316</v>
      </c>
      <c r="H53" s="31" t="s">
        <v>316</v>
      </c>
      <c r="I53" s="31" t="s">
        <v>316</v>
      </c>
      <c r="J53" s="31" t="s">
        <v>316</v>
      </c>
      <c r="K53" s="31" t="s">
        <v>317</v>
      </c>
      <c r="L53" s="32" t="str">
        <f t="shared" si="0"/>
        <v>EXCLUDE</v>
      </c>
      <c r="M53" s="32" t="str">
        <f t="shared" si="1"/>
        <v>Non-English</v>
      </c>
      <c r="N53" s="33"/>
      <c r="O53" s="33"/>
      <c r="P53" s="34"/>
      <c r="Q53" s="34"/>
      <c r="R53" s="34"/>
      <c r="S53" s="32" t="str">
        <f t="shared" si="2"/>
        <v/>
      </c>
      <c r="T53" s="32" t="str">
        <f t="shared" si="3"/>
        <v/>
      </c>
      <c r="U53" s="35"/>
      <c r="V53" s="35"/>
      <c r="W53" s="35"/>
      <c r="X53" s="35"/>
      <c r="Y53" s="32" t="str">
        <f t="shared" si="4"/>
        <v/>
      </c>
      <c r="Z53" s="35"/>
      <c r="AA53" s="35"/>
      <c r="AB53" s="35"/>
      <c r="AC53" s="35"/>
      <c r="AD53" s="35"/>
      <c r="AE53" s="35"/>
      <c r="AF53" s="35"/>
      <c r="AG53" s="15" t="s">
        <v>369</v>
      </c>
    </row>
    <row r="54" spans="1:33" ht="22.8" x14ac:dyDescent="0.3">
      <c r="A54" s="30">
        <v>3509</v>
      </c>
      <c r="B54" s="9"/>
      <c r="C54" s="36"/>
      <c r="D54" s="9"/>
      <c r="E54" s="9" t="s">
        <v>789</v>
      </c>
      <c r="F54" s="30" t="s">
        <v>314</v>
      </c>
      <c r="G54" s="31" t="s">
        <v>316</v>
      </c>
      <c r="H54" s="31" t="s">
        <v>317</v>
      </c>
      <c r="I54" s="31" t="s">
        <v>316</v>
      </c>
      <c r="J54" s="31" t="s">
        <v>316</v>
      </c>
      <c r="K54" s="31" t="s">
        <v>316</v>
      </c>
      <c r="L54" s="32" t="str">
        <f t="shared" si="0"/>
        <v>EXCLUDE</v>
      </c>
      <c r="M54" s="32" t="str">
        <f t="shared" si="1"/>
        <v>Digital Twin not core / buzzword</v>
      </c>
      <c r="N54" s="33"/>
      <c r="O54" s="33"/>
      <c r="P54" s="34"/>
      <c r="Q54" s="34"/>
      <c r="R54" s="34"/>
      <c r="S54" s="32" t="str">
        <f t="shared" si="2"/>
        <v/>
      </c>
      <c r="T54" s="32" t="str">
        <f t="shared" si="3"/>
        <v/>
      </c>
      <c r="U54" s="35"/>
      <c r="V54" s="35"/>
      <c r="W54" s="35"/>
      <c r="X54" s="35"/>
      <c r="Y54" s="32" t="str">
        <f t="shared" si="4"/>
        <v/>
      </c>
      <c r="Z54" s="35"/>
      <c r="AA54" s="35"/>
      <c r="AB54" s="35"/>
      <c r="AC54" s="35"/>
      <c r="AD54" s="35"/>
      <c r="AE54" s="35"/>
      <c r="AF54" s="35"/>
      <c r="AG54" s="15" t="s">
        <v>370</v>
      </c>
    </row>
    <row r="55" spans="1:33" x14ac:dyDescent="0.3">
      <c r="A55" s="30">
        <v>3529</v>
      </c>
      <c r="B55" s="9"/>
      <c r="C55" s="36"/>
      <c r="D55" s="9"/>
      <c r="E55" s="9" t="s">
        <v>790</v>
      </c>
      <c r="F55" s="30" t="s">
        <v>314</v>
      </c>
      <c r="G55" s="31" t="s">
        <v>317</v>
      </c>
      <c r="H55" s="31" t="s">
        <v>316</v>
      </c>
      <c r="I55" s="31" t="s">
        <v>317</v>
      </c>
      <c r="J55" s="31" t="s">
        <v>316</v>
      </c>
      <c r="K55" s="31" t="s">
        <v>316</v>
      </c>
      <c r="L55" s="32" t="str">
        <f t="shared" si="0"/>
        <v>EXCLUDE</v>
      </c>
      <c r="M55" s="32" t="str">
        <f t="shared" si="1"/>
        <v>Wrong domain (non-AECO)</v>
      </c>
      <c r="N55" s="33"/>
      <c r="O55" s="33"/>
      <c r="P55" s="34"/>
      <c r="Q55" s="34"/>
      <c r="R55" s="34"/>
      <c r="S55" s="32" t="str">
        <f t="shared" si="2"/>
        <v/>
      </c>
      <c r="T55" s="32" t="str">
        <f t="shared" si="3"/>
        <v/>
      </c>
      <c r="U55" s="35"/>
      <c r="V55" s="35"/>
      <c r="W55" s="35"/>
      <c r="X55" s="35"/>
      <c r="Y55" s="32" t="str">
        <f t="shared" si="4"/>
        <v/>
      </c>
      <c r="Z55" s="35"/>
      <c r="AA55" s="35"/>
      <c r="AB55" s="35"/>
      <c r="AC55" s="35"/>
      <c r="AD55" s="35"/>
      <c r="AE55" s="35"/>
      <c r="AF55" s="35"/>
      <c r="AG55" s="15" t="s">
        <v>371</v>
      </c>
    </row>
    <row r="56" spans="1:33" ht="22.8" x14ac:dyDescent="0.3">
      <c r="A56" s="30">
        <v>3660</v>
      </c>
      <c r="B56" s="9"/>
      <c r="C56" s="36"/>
      <c r="D56" s="9"/>
      <c r="E56" s="9" t="s">
        <v>791</v>
      </c>
      <c r="F56" s="30" t="s">
        <v>314</v>
      </c>
      <c r="G56" s="31" t="s">
        <v>316</v>
      </c>
      <c r="H56" s="31" t="s">
        <v>317</v>
      </c>
      <c r="I56" s="31" t="s">
        <v>316</v>
      </c>
      <c r="J56" s="31" t="s">
        <v>316</v>
      </c>
      <c r="K56" s="31" t="s">
        <v>316</v>
      </c>
      <c r="L56" s="32" t="str">
        <f t="shared" si="0"/>
        <v>EXCLUDE</v>
      </c>
      <c r="M56" s="32" t="str">
        <f t="shared" si="1"/>
        <v>Digital Twin not core / buzzword</v>
      </c>
      <c r="N56" s="33"/>
      <c r="O56" s="33"/>
      <c r="P56" s="34"/>
      <c r="Q56" s="34"/>
      <c r="R56" s="34"/>
      <c r="S56" s="32" t="str">
        <f t="shared" si="2"/>
        <v/>
      </c>
      <c r="T56" s="32" t="str">
        <f t="shared" si="3"/>
        <v/>
      </c>
      <c r="U56" s="35"/>
      <c r="V56" s="35"/>
      <c r="W56" s="35"/>
      <c r="X56" s="35"/>
      <c r="Y56" s="32" t="str">
        <f t="shared" si="4"/>
        <v/>
      </c>
      <c r="Z56" s="35"/>
      <c r="AA56" s="35"/>
      <c r="AB56" s="35"/>
      <c r="AC56" s="35"/>
      <c r="AD56" s="35"/>
      <c r="AE56" s="35"/>
      <c r="AF56" s="35"/>
      <c r="AG56" s="15" t="s">
        <v>372</v>
      </c>
    </row>
    <row r="57" spans="1:33" ht="22.8" x14ac:dyDescent="0.3">
      <c r="A57" s="30">
        <v>3931</v>
      </c>
      <c r="B57" s="9"/>
      <c r="C57" s="36"/>
      <c r="D57" s="9"/>
      <c r="E57" s="9" t="s">
        <v>791</v>
      </c>
      <c r="F57" s="30" t="s">
        <v>315</v>
      </c>
      <c r="G57" s="31" t="s">
        <v>316</v>
      </c>
      <c r="H57" s="31" t="s">
        <v>317</v>
      </c>
      <c r="I57" s="31" t="s">
        <v>316</v>
      </c>
      <c r="J57" s="31" t="s">
        <v>316</v>
      </c>
      <c r="K57" s="31" t="s">
        <v>316</v>
      </c>
      <c r="L57" s="32" t="str">
        <f t="shared" si="0"/>
        <v>EXCLUDE</v>
      </c>
      <c r="M57" s="32" t="str">
        <f t="shared" si="1"/>
        <v>Digital Twin not core / buzzword</v>
      </c>
      <c r="N57" s="33"/>
      <c r="O57" s="33"/>
      <c r="P57" s="34"/>
      <c r="Q57" s="34"/>
      <c r="R57" s="34"/>
      <c r="S57" s="32" t="str">
        <f t="shared" si="2"/>
        <v/>
      </c>
      <c r="T57" s="32" t="str">
        <f t="shared" si="3"/>
        <v/>
      </c>
      <c r="U57" s="35"/>
      <c r="V57" s="35"/>
      <c r="W57" s="35"/>
      <c r="X57" s="35"/>
      <c r="Y57" s="32" t="str">
        <f t="shared" si="4"/>
        <v/>
      </c>
      <c r="Z57" s="35"/>
      <c r="AA57" s="35"/>
      <c r="AB57" s="35"/>
      <c r="AC57" s="35"/>
      <c r="AD57" s="35"/>
      <c r="AE57" s="35"/>
      <c r="AF57" s="35"/>
      <c r="AG57" s="15" t="s">
        <v>373</v>
      </c>
    </row>
    <row r="58" spans="1:33" ht="22.8" x14ac:dyDescent="0.3">
      <c r="A58" s="30">
        <v>3679</v>
      </c>
      <c r="B58" s="9"/>
      <c r="C58" s="36"/>
      <c r="D58" s="9"/>
      <c r="E58" s="9" t="s">
        <v>792</v>
      </c>
      <c r="F58" s="30" t="s">
        <v>314</v>
      </c>
      <c r="G58" s="31" t="s">
        <v>317</v>
      </c>
      <c r="H58" s="31" t="s">
        <v>317</v>
      </c>
      <c r="I58" s="31" t="s">
        <v>317</v>
      </c>
      <c r="J58" s="31" t="s">
        <v>316</v>
      </c>
      <c r="K58" s="31" t="s">
        <v>316</v>
      </c>
      <c r="L58" s="32" t="str">
        <f t="shared" si="0"/>
        <v>EXCLUDE</v>
      </c>
      <c r="M58" s="32" t="str">
        <f t="shared" si="1"/>
        <v>Wrong domain (non-AECO)</v>
      </c>
      <c r="N58" s="33"/>
      <c r="O58" s="33"/>
      <c r="P58" s="34"/>
      <c r="Q58" s="34"/>
      <c r="R58" s="34"/>
      <c r="S58" s="32" t="str">
        <f t="shared" si="2"/>
        <v/>
      </c>
      <c r="T58" s="32" t="str">
        <f t="shared" si="3"/>
        <v/>
      </c>
      <c r="U58" s="35"/>
      <c r="V58" s="35"/>
      <c r="W58" s="35"/>
      <c r="X58" s="35"/>
      <c r="Y58" s="32" t="str">
        <f t="shared" si="4"/>
        <v/>
      </c>
      <c r="Z58" s="35"/>
      <c r="AA58" s="35"/>
      <c r="AB58" s="35"/>
      <c r="AC58" s="35"/>
      <c r="AD58" s="35"/>
      <c r="AE58" s="35"/>
      <c r="AF58" s="35"/>
      <c r="AG58" s="15" t="s">
        <v>374</v>
      </c>
    </row>
    <row r="59" spans="1:33" ht="22.8" x14ac:dyDescent="0.3">
      <c r="A59" s="30">
        <v>3651</v>
      </c>
      <c r="B59" s="9"/>
      <c r="C59" s="36"/>
      <c r="D59" s="9"/>
      <c r="E59" s="9" t="s">
        <v>793</v>
      </c>
      <c r="F59" s="30" t="s">
        <v>314</v>
      </c>
      <c r="G59" s="31" t="s">
        <v>316</v>
      </c>
      <c r="H59" s="31" t="s">
        <v>317</v>
      </c>
      <c r="I59" s="31" t="s">
        <v>316</v>
      </c>
      <c r="J59" s="31" t="s">
        <v>316</v>
      </c>
      <c r="K59" s="31" t="s">
        <v>316</v>
      </c>
      <c r="L59" s="32" t="str">
        <f t="shared" si="0"/>
        <v>EXCLUDE</v>
      </c>
      <c r="M59" s="32" t="str">
        <f t="shared" si="1"/>
        <v>Digital Twin not core / buzzword</v>
      </c>
      <c r="N59" s="33"/>
      <c r="O59" s="33"/>
      <c r="P59" s="34"/>
      <c r="Q59" s="34"/>
      <c r="R59" s="34"/>
      <c r="S59" s="32" t="str">
        <f t="shared" si="2"/>
        <v/>
      </c>
      <c r="T59" s="32" t="str">
        <f t="shared" si="3"/>
        <v/>
      </c>
      <c r="U59" s="35"/>
      <c r="V59" s="35"/>
      <c r="W59" s="35"/>
      <c r="X59" s="35"/>
      <c r="Y59" s="32" t="str">
        <f t="shared" si="4"/>
        <v/>
      </c>
      <c r="Z59" s="35"/>
      <c r="AA59" s="35"/>
      <c r="AB59" s="35"/>
      <c r="AC59" s="35"/>
      <c r="AD59" s="35"/>
      <c r="AE59" s="35"/>
      <c r="AF59" s="35"/>
      <c r="AG59" s="15" t="s">
        <v>375</v>
      </c>
    </row>
    <row r="60" spans="1:33" ht="22.8" x14ac:dyDescent="0.3">
      <c r="A60" s="30">
        <v>3830</v>
      </c>
      <c r="B60" s="9"/>
      <c r="C60" s="36"/>
      <c r="D60" s="9"/>
      <c r="E60" s="9" t="s">
        <v>794</v>
      </c>
      <c r="F60" s="30" t="s">
        <v>314</v>
      </c>
      <c r="G60" s="31" t="s">
        <v>316</v>
      </c>
      <c r="H60" s="31" t="s">
        <v>317</v>
      </c>
      <c r="I60" s="31" t="s">
        <v>316</v>
      </c>
      <c r="J60" s="31" t="s">
        <v>316</v>
      </c>
      <c r="K60" s="31" t="s">
        <v>316</v>
      </c>
      <c r="L60" s="32" t="str">
        <f t="shared" si="0"/>
        <v>EXCLUDE</v>
      </c>
      <c r="M60" s="32" t="str">
        <f t="shared" si="1"/>
        <v>Digital Twin not core / buzzword</v>
      </c>
      <c r="N60" s="33"/>
      <c r="O60" s="33"/>
      <c r="P60" s="34"/>
      <c r="Q60" s="34"/>
      <c r="R60" s="34"/>
      <c r="S60" s="32" t="str">
        <f t="shared" si="2"/>
        <v/>
      </c>
      <c r="T60" s="32" t="str">
        <f t="shared" si="3"/>
        <v/>
      </c>
      <c r="U60" s="35"/>
      <c r="V60" s="35"/>
      <c r="W60" s="35"/>
      <c r="X60" s="35"/>
      <c r="Y60" s="32" t="str">
        <f t="shared" si="4"/>
        <v/>
      </c>
      <c r="Z60" s="35"/>
      <c r="AA60" s="35"/>
      <c r="AB60" s="35"/>
      <c r="AC60" s="35"/>
      <c r="AD60" s="35"/>
      <c r="AE60" s="35"/>
      <c r="AF60" s="35"/>
      <c r="AG60" s="15" t="s">
        <v>376</v>
      </c>
    </row>
    <row r="61" spans="1:33" ht="22.8" x14ac:dyDescent="0.3">
      <c r="A61" s="30">
        <v>3793</v>
      </c>
      <c r="B61" s="9"/>
      <c r="C61" s="36"/>
      <c r="D61" s="9"/>
      <c r="E61" s="9" t="s">
        <v>795</v>
      </c>
      <c r="F61" s="30" t="s">
        <v>314</v>
      </c>
      <c r="G61" s="31" t="s">
        <v>316</v>
      </c>
      <c r="H61" s="31" t="s">
        <v>317</v>
      </c>
      <c r="I61" s="31" t="s">
        <v>316</v>
      </c>
      <c r="J61" s="31" t="s">
        <v>316</v>
      </c>
      <c r="K61" s="31" t="s">
        <v>316</v>
      </c>
      <c r="L61" s="32" t="str">
        <f t="shared" si="0"/>
        <v>EXCLUDE</v>
      </c>
      <c r="M61" s="32" t="str">
        <f t="shared" si="1"/>
        <v>Digital Twin not core / buzzword</v>
      </c>
      <c r="N61" s="33"/>
      <c r="O61" s="33"/>
      <c r="P61" s="34"/>
      <c r="Q61" s="34"/>
      <c r="R61" s="34"/>
      <c r="S61" s="32" t="str">
        <f t="shared" si="2"/>
        <v/>
      </c>
      <c r="T61" s="32" t="str">
        <f t="shared" si="3"/>
        <v/>
      </c>
      <c r="U61" s="35"/>
      <c r="V61" s="35"/>
      <c r="W61" s="35"/>
      <c r="X61" s="35"/>
      <c r="Y61" s="32" t="str">
        <f t="shared" si="4"/>
        <v/>
      </c>
      <c r="Z61" s="35"/>
      <c r="AA61" s="35"/>
      <c r="AB61" s="35"/>
      <c r="AC61" s="35"/>
      <c r="AD61" s="35"/>
      <c r="AE61" s="35"/>
      <c r="AF61" s="35"/>
      <c r="AG61" s="15" t="s">
        <v>377</v>
      </c>
    </row>
    <row r="62" spans="1:33" ht="91.2" x14ac:dyDescent="0.3">
      <c r="A62" s="30">
        <v>3802</v>
      </c>
      <c r="B62" s="9" t="s">
        <v>187</v>
      </c>
      <c r="C62" s="36">
        <v>2022</v>
      </c>
      <c r="D62" s="9"/>
      <c r="E62" s="9" t="s">
        <v>796</v>
      </c>
      <c r="F62" s="30" t="s">
        <v>314</v>
      </c>
      <c r="G62" s="31" t="s">
        <v>316</v>
      </c>
      <c r="H62" s="31" t="s">
        <v>316</v>
      </c>
      <c r="I62" s="31" t="s">
        <v>316</v>
      </c>
      <c r="J62" s="31" t="s">
        <v>316</v>
      </c>
      <c r="K62" s="31" t="s">
        <v>316</v>
      </c>
      <c r="L62" s="32" t="str">
        <f t="shared" si="0"/>
        <v>INCLUDE</v>
      </c>
      <c r="M62" s="32" t="str">
        <f t="shared" si="1"/>
        <v/>
      </c>
      <c r="N62" s="33" t="s">
        <v>49</v>
      </c>
      <c r="O62" s="33" t="s">
        <v>49</v>
      </c>
      <c r="P62" s="34" t="s">
        <v>49</v>
      </c>
      <c r="Q62" s="34" t="s">
        <v>49</v>
      </c>
      <c r="R62" s="34" t="s">
        <v>49</v>
      </c>
      <c r="S62" s="32" t="str">
        <f t="shared" si="2"/>
        <v>INCLUDE</v>
      </c>
      <c r="T62" s="32" t="str">
        <f t="shared" si="3"/>
        <v/>
      </c>
      <c r="U62" s="35" t="s">
        <v>61</v>
      </c>
      <c r="V62" s="35">
        <v>0</v>
      </c>
      <c r="W62" s="35">
        <v>0</v>
      </c>
      <c r="X62" s="35">
        <v>1</v>
      </c>
      <c r="Y62" s="32" t="str">
        <f t="shared" si="4"/>
        <v>Single</v>
      </c>
      <c r="Z62" s="35" t="s">
        <v>9</v>
      </c>
      <c r="AA62" s="35" t="s">
        <v>53</v>
      </c>
      <c r="AB62" s="35" t="s">
        <v>73</v>
      </c>
      <c r="AC62" s="35" t="s">
        <v>64</v>
      </c>
      <c r="AD62" s="35" t="s">
        <v>72</v>
      </c>
      <c r="AE62" s="35">
        <v>4</v>
      </c>
      <c r="AF62" s="35" t="s">
        <v>84</v>
      </c>
      <c r="AG62" s="15" t="s">
        <v>378</v>
      </c>
    </row>
    <row r="63" spans="1:33" ht="22.8" x14ac:dyDescent="0.3">
      <c r="A63" s="30">
        <v>4007</v>
      </c>
      <c r="B63" s="9"/>
      <c r="C63" s="36"/>
      <c r="D63" s="9"/>
      <c r="E63" s="9" t="s">
        <v>797</v>
      </c>
      <c r="F63" s="30" t="s">
        <v>315</v>
      </c>
      <c r="G63" s="31" t="s">
        <v>316</v>
      </c>
      <c r="H63" s="31" t="s">
        <v>317</v>
      </c>
      <c r="I63" s="31" t="s">
        <v>316</v>
      </c>
      <c r="J63" s="31" t="s">
        <v>316</v>
      </c>
      <c r="K63" s="31" t="s">
        <v>316</v>
      </c>
      <c r="L63" s="32" t="str">
        <f t="shared" si="0"/>
        <v>EXCLUDE</v>
      </c>
      <c r="M63" s="32" t="str">
        <f t="shared" si="1"/>
        <v>Digital Twin not core / buzzword</v>
      </c>
      <c r="N63" s="33"/>
      <c r="O63" s="33"/>
      <c r="P63" s="34"/>
      <c r="Q63" s="34"/>
      <c r="R63" s="34"/>
      <c r="S63" s="32" t="str">
        <f t="shared" si="2"/>
        <v/>
      </c>
      <c r="T63" s="32" t="str">
        <f t="shared" si="3"/>
        <v/>
      </c>
      <c r="U63" s="35"/>
      <c r="V63" s="35"/>
      <c r="W63" s="35"/>
      <c r="X63" s="35"/>
      <c r="Y63" s="32" t="str">
        <f t="shared" si="4"/>
        <v/>
      </c>
      <c r="Z63" s="35"/>
      <c r="AA63" s="35"/>
      <c r="AB63" s="35"/>
      <c r="AC63" s="35"/>
      <c r="AD63" s="35"/>
      <c r="AE63" s="35"/>
      <c r="AF63" s="35"/>
      <c r="AG63" s="15" t="s">
        <v>379</v>
      </c>
    </row>
    <row r="64" spans="1:33" ht="22.8" x14ac:dyDescent="0.3">
      <c r="A64" s="30">
        <v>3708</v>
      </c>
      <c r="B64" s="9"/>
      <c r="C64" s="36"/>
      <c r="D64" s="9"/>
      <c r="E64" s="9" t="s">
        <v>798</v>
      </c>
      <c r="F64" s="30" t="s">
        <v>314</v>
      </c>
      <c r="G64" s="31" t="s">
        <v>317</v>
      </c>
      <c r="H64" s="31" t="s">
        <v>317</v>
      </c>
      <c r="I64" s="31" t="s">
        <v>317</v>
      </c>
      <c r="J64" s="31" t="s">
        <v>316</v>
      </c>
      <c r="K64" s="31" t="s">
        <v>316</v>
      </c>
      <c r="L64" s="32" t="str">
        <f t="shared" si="0"/>
        <v>EXCLUDE</v>
      </c>
      <c r="M64" s="32" t="str">
        <f t="shared" si="1"/>
        <v>Wrong domain (non-AECO)</v>
      </c>
      <c r="N64" s="33"/>
      <c r="O64" s="33"/>
      <c r="P64" s="34"/>
      <c r="Q64" s="34"/>
      <c r="R64" s="34"/>
      <c r="S64" s="32" t="str">
        <f t="shared" si="2"/>
        <v/>
      </c>
      <c r="T64" s="32" t="str">
        <f t="shared" si="3"/>
        <v/>
      </c>
      <c r="U64" s="35"/>
      <c r="V64" s="35"/>
      <c r="W64" s="35"/>
      <c r="X64" s="35"/>
      <c r="Y64" s="32" t="str">
        <f t="shared" si="4"/>
        <v/>
      </c>
      <c r="Z64" s="35"/>
      <c r="AA64" s="35"/>
      <c r="AB64" s="35"/>
      <c r="AC64" s="35"/>
      <c r="AD64" s="35"/>
      <c r="AE64" s="35"/>
      <c r="AF64" s="35"/>
      <c r="AG64" s="15" t="s">
        <v>380</v>
      </c>
    </row>
    <row r="65" spans="1:33" ht="22.8" x14ac:dyDescent="0.3">
      <c r="A65" s="30">
        <v>3631</v>
      </c>
      <c r="B65" s="9"/>
      <c r="C65" s="36"/>
      <c r="D65" s="9"/>
      <c r="E65" s="9" t="s">
        <v>799</v>
      </c>
      <c r="F65" s="30" t="s">
        <v>314</v>
      </c>
      <c r="G65" s="31" t="s">
        <v>317</v>
      </c>
      <c r="H65" s="31" t="s">
        <v>316</v>
      </c>
      <c r="I65" s="31" t="s">
        <v>317</v>
      </c>
      <c r="J65" s="31" t="s">
        <v>316</v>
      </c>
      <c r="K65" s="31" t="s">
        <v>316</v>
      </c>
      <c r="L65" s="32" t="str">
        <f t="shared" si="0"/>
        <v>EXCLUDE</v>
      </c>
      <c r="M65" s="32" t="str">
        <f t="shared" si="1"/>
        <v>Wrong domain (non-AECO)</v>
      </c>
      <c r="N65" s="33"/>
      <c r="O65" s="33"/>
      <c r="P65" s="34"/>
      <c r="Q65" s="34"/>
      <c r="R65" s="34"/>
      <c r="S65" s="32" t="str">
        <f t="shared" si="2"/>
        <v/>
      </c>
      <c r="T65" s="32" t="str">
        <f t="shared" si="3"/>
        <v/>
      </c>
      <c r="U65" s="35"/>
      <c r="V65" s="35"/>
      <c r="W65" s="35"/>
      <c r="X65" s="35"/>
      <c r="Y65" s="32" t="str">
        <f t="shared" si="4"/>
        <v/>
      </c>
      <c r="Z65" s="35"/>
      <c r="AA65" s="35"/>
      <c r="AB65" s="35"/>
      <c r="AC65" s="35"/>
      <c r="AD65" s="35"/>
      <c r="AE65" s="35"/>
      <c r="AF65" s="35"/>
      <c r="AG65" s="15" t="s">
        <v>381</v>
      </c>
    </row>
    <row r="66" spans="1:33" ht="91.2" x14ac:dyDescent="0.3">
      <c r="A66" s="30">
        <v>3626</v>
      </c>
      <c r="B66" s="9" t="s">
        <v>188</v>
      </c>
      <c r="C66" s="36">
        <v>2026</v>
      </c>
      <c r="D66" s="9"/>
      <c r="E66" s="9" t="s">
        <v>800</v>
      </c>
      <c r="F66" s="30" t="s">
        <v>314</v>
      </c>
      <c r="G66" s="31" t="s">
        <v>316</v>
      </c>
      <c r="H66" s="31" t="s">
        <v>316</v>
      </c>
      <c r="I66" s="31" t="s">
        <v>316</v>
      </c>
      <c r="J66" s="31" t="s">
        <v>316</v>
      </c>
      <c r="K66" s="31" t="s">
        <v>316</v>
      </c>
      <c r="L66" s="32" t="str">
        <f t="shared" ref="L66:L129" si="5">IF(COUNTBLANK(G66:K66)=5,"",IF(COUNTIF(G66:K66,"No")&gt;0,"EXCLUDE","INCLUDE"))</f>
        <v>INCLUDE</v>
      </c>
      <c r="M66" s="32" t="str">
        <f t="shared" ref="M66:M129" si="6">IF(L66&lt;&gt;"EXCLUDE","",IF(G66="No","Wrong domain (non-AECO)",IF(H66="No","Digital Twin not core / buzzword",IF(I66="No","No Design for Safety/Quality/PtD",IF(J66="No","Wrong publication type",IF(K66="No","Non-English",""))))))</f>
        <v/>
      </c>
      <c r="N66" s="33" t="s">
        <v>49</v>
      </c>
      <c r="O66" s="33" t="s">
        <v>49</v>
      </c>
      <c r="P66" s="34" t="s">
        <v>49</v>
      </c>
      <c r="Q66" s="34" t="s">
        <v>49</v>
      </c>
      <c r="R66" s="34" t="s">
        <v>49</v>
      </c>
      <c r="S66" s="32" t="str">
        <f t="shared" ref="S66:S129" si="7">IF(N66&lt;&gt;"Yes","",IF(COUNTBLANK(P66:R66)=3,"",IF(COUNTIF(P66:R66,"No")&gt;0,"EXCLUDE","INCLUDE")))</f>
        <v>INCLUDE</v>
      </c>
      <c r="T66" s="32" t="str">
        <f t="shared" ref="T66:T129" si="8">IF(S66&lt;&gt;"EXCLUDE","",IF(P66="No","Digital Twin mentioned only, not the subject",IF(Q66="No","No Design for Safety/Quality in full text",IF(R66="No","Methodology not codable",""))))</f>
        <v/>
      </c>
      <c r="U66" s="35" t="s">
        <v>61</v>
      </c>
      <c r="V66" s="35">
        <v>0</v>
      </c>
      <c r="W66" s="35">
        <v>0</v>
      </c>
      <c r="X66" s="35">
        <v>1</v>
      </c>
      <c r="Y66" s="32" t="str">
        <f t="shared" ref="Y66:Y129" si="9">IF(SUM(V66:X66)=0,"",IF(SUM(V66:X66)&gt;=2,"Multi","Single"))</f>
        <v>Single</v>
      </c>
      <c r="Z66" s="35" t="s">
        <v>9</v>
      </c>
      <c r="AA66" s="35" t="s">
        <v>53</v>
      </c>
      <c r="AB66" s="35" t="s">
        <v>73</v>
      </c>
      <c r="AC66" s="35" t="s">
        <v>64</v>
      </c>
      <c r="AD66" s="35" t="s">
        <v>72</v>
      </c>
      <c r="AE66" s="35">
        <v>4</v>
      </c>
      <c r="AF66" s="35" t="s">
        <v>84</v>
      </c>
      <c r="AG66" s="15" t="s">
        <v>382</v>
      </c>
    </row>
    <row r="67" spans="1:33" ht="79.8" x14ac:dyDescent="0.3">
      <c r="A67" s="30">
        <v>3967</v>
      </c>
      <c r="B67" s="9" t="s">
        <v>189</v>
      </c>
      <c r="C67" s="36">
        <v>2025</v>
      </c>
      <c r="D67" s="9"/>
      <c r="E67" s="9" t="s">
        <v>801</v>
      </c>
      <c r="F67" s="30" t="s">
        <v>315</v>
      </c>
      <c r="G67" s="31" t="s">
        <v>316</v>
      </c>
      <c r="H67" s="31" t="s">
        <v>316</v>
      </c>
      <c r="I67" s="31" t="s">
        <v>316</v>
      </c>
      <c r="J67" s="31" t="s">
        <v>316</v>
      </c>
      <c r="K67" s="31" t="s">
        <v>316</v>
      </c>
      <c r="L67" s="32" t="str">
        <f t="shared" si="5"/>
        <v>INCLUDE</v>
      </c>
      <c r="M67" s="32" t="str">
        <f t="shared" si="6"/>
        <v/>
      </c>
      <c r="N67" s="33" t="s">
        <v>49</v>
      </c>
      <c r="O67" s="33" t="s">
        <v>49</v>
      </c>
      <c r="P67" s="34" t="s">
        <v>49</v>
      </c>
      <c r="Q67" s="34" t="s">
        <v>49</v>
      </c>
      <c r="R67" s="34" t="s">
        <v>49</v>
      </c>
      <c r="S67" s="32" t="str">
        <f t="shared" si="7"/>
        <v>INCLUDE</v>
      </c>
      <c r="T67" s="32" t="str">
        <f t="shared" si="8"/>
        <v/>
      </c>
      <c r="U67" s="35" t="s">
        <v>61</v>
      </c>
      <c r="V67" s="35">
        <v>0</v>
      </c>
      <c r="W67" s="35">
        <v>1</v>
      </c>
      <c r="X67" s="35">
        <v>0</v>
      </c>
      <c r="Y67" s="32" t="str">
        <f t="shared" si="9"/>
        <v>Single</v>
      </c>
      <c r="Z67" s="35" t="s">
        <v>69</v>
      </c>
      <c r="AA67" s="35" t="s">
        <v>53</v>
      </c>
      <c r="AB67" s="35" t="s">
        <v>92</v>
      </c>
      <c r="AC67" s="35" t="s">
        <v>64</v>
      </c>
      <c r="AD67" s="35" t="s">
        <v>72</v>
      </c>
      <c r="AE67" s="35">
        <v>3</v>
      </c>
      <c r="AF67" s="35" t="s">
        <v>84</v>
      </c>
      <c r="AG67" s="15" t="s">
        <v>383</v>
      </c>
    </row>
    <row r="68" spans="1:33" ht="79.8" x14ac:dyDescent="0.3">
      <c r="A68" s="30">
        <v>4036</v>
      </c>
      <c r="B68" s="9" t="s">
        <v>189</v>
      </c>
      <c r="C68" s="36">
        <v>2025</v>
      </c>
      <c r="D68" s="9"/>
      <c r="E68" s="9" t="s">
        <v>802</v>
      </c>
      <c r="F68" s="30" t="s">
        <v>315</v>
      </c>
      <c r="G68" s="31" t="s">
        <v>316</v>
      </c>
      <c r="H68" s="31" t="s">
        <v>316</v>
      </c>
      <c r="I68" s="31" t="s">
        <v>316</v>
      </c>
      <c r="J68" s="31" t="s">
        <v>316</v>
      </c>
      <c r="K68" s="31" t="s">
        <v>316</v>
      </c>
      <c r="L68" s="32" t="str">
        <f t="shared" si="5"/>
        <v>INCLUDE</v>
      </c>
      <c r="M68" s="32" t="str">
        <f t="shared" si="6"/>
        <v/>
      </c>
      <c r="N68" s="33" t="s">
        <v>49</v>
      </c>
      <c r="O68" s="33" t="s">
        <v>49</v>
      </c>
      <c r="P68" s="34" t="s">
        <v>49</v>
      </c>
      <c r="Q68" s="34" t="s">
        <v>49</v>
      </c>
      <c r="R68" s="34" t="s">
        <v>49</v>
      </c>
      <c r="S68" s="32" t="str">
        <f t="shared" si="7"/>
        <v>INCLUDE</v>
      </c>
      <c r="T68" s="32" t="str">
        <f t="shared" si="8"/>
        <v/>
      </c>
      <c r="U68" s="35" t="s">
        <v>52</v>
      </c>
      <c r="V68" s="35">
        <v>0</v>
      </c>
      <c r="W68" s="35">
        <v>0</v>
      </c>
      <c r="X68" s="35">
        <v>1</v>
      </c>
      <c r="Y68" s="32" t="str">
        <f t="shared" si="9"/>
        <v>Single</v>
      </c>
      <c r="Z68" s="35" t="s">
        <v>9</v>
      </c>
      <c r="AA68" s="35" t="s">
        <v>53</v>
      </c>
      <c r="AB68" s="35" t="s">
        <v>91</v>
      </c>
      <c r="AC68" s="35" t="s">
        <v>64</v>
      </c>
      <c r="AD68" s="35" t="s">
        <v>56</v>
      </c>
      <c r="AE68" s="35">
        <v>3</v>
      </c>
      <c r="AF68" s="35" t="s">
        <v>57</v>
      </c>
      <c r="AG68" s="15" t="s">
        <v>384</v>
      </c>
    </row>
    <row r="69" spans="1:33" ht="114" x14ac:dyDescent="0.3">
      <c r="A69" s="30">
        <v>3760</v>
      </c>
      <c r="B69" s="9" t="s">
        <v>190</v>
      </c>
      <c r="C69" s="36">
        <v>2026</v>
      </c>
      <c r="D69" s="9"/>
      <c r="E69" s="9" t="s">
        <v>803</v>
      </c>
      <c r="F69" s="30" t="s">
        <v>314</v>
      </c>
      <c r="G69" s="31" t="s">
        <v>316</v>
      </c>
      <c r="H69" s="31" t="s">
        <v>316</v>
      </c>
      <c r="I69" s="31" t="s">
        <v>316</v>
      </c>
      <c r="J69" s="31" t="s">
        <v>316</v>
      </c>
      <c r="K69" s="31" t="s">
        <v>316</v>
      </c>
      <c r="L69" s="32" t="str">
        <f t="shared" si="5"/>
        <v>INCLUDE</v>
      </c>
      <c r="M69" s="32" t="str">
        <f t="shared" si="6"/>
        <v/>
      </c>
      <c r="N69" s="33" t="s">
        <v>49</v>
      </c>
      <c r="O69" s="33" t="s">
        <v>49</v>
      </c>
      <c r="P69" s="34" t="s">
        <v>49</v>
      </c>
      <c r="Q69" s="34" t="s">
        <v>49</v>
      </c>
      <c r="R69" s="34" t="s">
        <v>49</v>
      </c>
      <c r="S69" s="32" t="str">
        <f t="shared" si="7"/>
        <v>INCLUDE</v>
      </c>
      <c r="T69" s="32" t="str">
        <f t="shared" si="8"/>
        <v/>
      </c>
      <c r="U69" s="35" t="s">
        <v>68</v>
      </c>
      <c r="V69" s="35">
        <v>0</v>
      </c>
      <c r="W69" s="35">
        <v>1</v>
      </c>
      <c r="X69" s="35">
        <v>0</v>
      </c>
      <c r="Y69" s="32" t="str">
        <f t="shared" si="9"/>
        <v>Single</v>
      </c>
      <c r="Z69" s="35" t="s">
        <v>9</v>
      </c>
      <c r="AA69" s="35" t="s">
        <v>53</v>
      </c>
      <c r="AB69" s="35" t="s">
        <v>78</v>
      </c>
      <c r="AC69" s="35" t="s">
        <v>64</v>
      </c>
      <c r="AD69" s="35" t="s">
        <v>72</v>
      </c>
      <c r="AE69" s="35">
        <v>4</v>
      </c>
      <c r="AF69" s="35" t="s">
        <v>84</v>
      </c>
      <c r="AG69" s="15" t="s">
        <v>385</v>
      </c>
    </row>
    <row r="70" spans="1:33" ht="22.8" x14ac:dyDescent="0.3">
      <c r="A70" s="30">
        <v>3521</v>
      </c>
      <c r="B70" s="9"/>
      <c r="C70" s="36"/>
      <c r="D70" s="9"/>
      <c r="E70" s="9" t="s">
        <v>804</v>
      </c>
      <c r="F70" s="30" t="s">
        <v>314</v>
      </c>
      <c r="G70" s="31" t="s">
        <v>316</v>
      </c>
      <c r="H70" s="31" t="s">
        <v>316</v>
      </c>
      <c r="I70" s="31" t="s">
        <v>316</v>
      </c>
      <c r="J70" s="31" t="s">
        <v>316</v>
      </c>
      <c r="K70" s="31" t="s">
        <v>317</v>
      </c>
      <c r="L70" s="32" t="str">
        <f t="shared" si="5"/>
        <v>EXCLUDE</v>
      </c>
      <c r="M70" s="32" t="str">
        <f t="shared" si="6"/>
        <v>Non-English</v>
      </c>
      <c r="N70" s="33"/>
      <c r="O70" s="33"/>
      <c r="P70" s="34"/>
      <c r="Q70" s="34"/>
      <c r="R70" s="34"/>
      <c r="S70" s="32" t="str">
        <f t="shared" si="7"/>
        <v/>
      </c>
      <c r="T70" s="32" t="str">
        <f t="shared" si="8"/>
        <v/>
      </c>
      <c r="U70" s="35"/>
      <c r="V70" s="35"/>
      <c r="W70" s="35"/>
      <c r="X70" s="35"/>
      <c r="Y70" s="32" t="str">
        <f t="shared" si="9"/>
        <v/>
      </c>
      <c r="Z70" s="35"/>
      <c r="AA70" s="35"/>
      <c r="AB70" s="35"/>
      <c r="AC70" s="35"/>
      <c r="AD70" s="35"/>
      <c r="AE70" s="35"/>
      <c r="AF70" s="35"/>
      <c r="AG70" s="15" t="s">
        <v>386</v>
      </c>
    </row>
    <row r="71" spans="1:33" ht="22.8" x14ac:dyDescent="0.3">
      <c r="A71" s="30">
        <v>4002</v>
      </c>
      <c r="B71" s="9"/>
      <c r="C71" s="36"/>
      <c r="D71" s="9"/>
      <c r="E71" s="9" t="s">
        <v>805</v>
      </c>
      <c r="F71" s="30" t="s">
        <v>315</v>
      </c>
      <c r="G71" s="31" t="s">
        <v>316</v>
      </c>
      <c r="H71" s="31" t="s">
        <v>317</v>
      </c>
      <c r="I71" s="31" t="s">
        <v>316</v>
      </c>
      <c r="J71" s="31" t="s">
        <v>316</v>
      </c>
      <c r="K71" s="31" t="s">
        <v>316</v>
      </c>
      <c r="L71" s="32" t="str">
        <f t="shared" si="5"/>
        <v>EXCLUDE</v>
      </c>
      <c r="M71" s="32" t="str">
        <f t="shared" si="6"/>
        <v>Digital Twin not core / buzzword</v>
      </c>
      <c r="N71" s="33"/>
      <c r="O71" s="33"/>
      <c r="P71" s="34"/>
      <c r="Q71" s="34"/>
      <c r="R71" s="34"/>
      <c r="S71" s="32" t="str">
        <f t="shared" si="7"/>
        <v/>
      </c>
      <c r="T71" s="32" t="str">
        <f t="shared" si="8"/>
        <v/>
      </c>
      <c r="U71" s="35"/>
      <c r="V71" s="35"/>
      <c r="W71" s="35"/>
      <c r="X71" s="35"/>
      <c r="Y71" s="32" t="str">
        <f t="shared" si="9"/>
        <v/>
      </c>
      <c r="Z71" s="35"/>
      <c r="AA71" s="35"/>
      <c r="AB71" s="35"/>
      <c r="AC71" s="35"/>
      <c r="AD71" s="35"/>
      <c r="AE71" s="35"/>
      <c r="AF71" s="35"/>
      <c r="AG71" s="15" t="s">
        <v>387</v>
      </c>
    </row>
    <row r="72" spans="1:33" ht="22.8" x14ac:dyDescent="0.3">
      <c r="A72" s="30">
        <v>3528</v>
      </c>
      <c r="B72" s="9"/>
      <c r="C72" s="36"/>
      <c r="D72" s="9"/>
      <c r="E72" s="9" t="s">
        <v>806</v>
      </c>
      <c r="F72" s="30" t="s">
        <v>314</v>
      </c>
      <c r="G72" s="31" t="s">
        <v>316</v>
      </c>
      <c r="H72" s="31" t="s">
        <v>316</v>
      </c>
      <c r="I72" s="31" t="s">
        <v>316</v>
      </c>
      <c r="J72" s="31" t="s">
        <v>316</v>
      </c>
      <c r="K72" s="31" t="s">
        <v>317</v>
      </c>
      <c r="L72" s="32" t="str">
        <f t="shared" si="5"/>
        <v>EXCLUDE</v>
      </c>
      <c r="M72" s="32" t="str">
        <f t="shared" si="6"/>
        <v>Non-English</v>
      </c>
      <c r="N72" s="33"/>
      <c r="O72" s="33"/>
      <c r="P72" s="34"/>
      <c r="Q72" s="34"/>
      <c r="R72" s="34"/>
      <c r="S72" s="32" t="str">
        <f t="shared" si="7"/>
        <v/>
      </c>
      <c r="T72" s="32" t="str">
        <f t="shared" si="8"/>
        <v/>
      </c>
      <c r="U72" s="35"/>
      <c r="V72" s="35"/>
      <c r="W72" s="35"/>
      <c r="X72" s="35"/>
      <c r="Y72" s="32" t="str">
        <f t="shared" si="9"/>
        <v/>
      </c>
      <c r="Z72" s="35"/>
      <c r="AA72" s="35"/>
      <c r="AB72" s="35"/>
      <c r="AC72" s="35"/>
      <c r="AD72" s="35"/>
      <c r="AE72" s="35"/>
      <c r="AF72" s="35"/>
      <c r="AG72" s="15" t="s">
        <v>388</v>
      </c>
    </row>
    <row r="73" spans="1:33" ht="22.8" x14ac:dyDescent="0.3">
      <c r="A73" s="30">
        <v>3736</v>
      </c>
      <c r="B73" s="9" t="s">
        <v>191</v>
      </c>
      <c r="C73" s="36">
        <v>2026</v>
      </c>
      <c r="D73" s="9"/>
      <c r="E73" s="9" t="s">
        <v>807</v>
      </c>
      <c r="F73" s="30" t="s">
        <v>314</v>
      </c>
      <c r="G73" s="31" t="s">
        <v>316</v>
      </c>
      <c r="H73" s="31" t="s">
        <v>316</v>
      </c>
      <c r="I73" s="31" t="s">
        <v>316</v>
      </c>
      <c r="J73" s="31" t="s">
        <v>316</v>
      </c>
      <c r="K73" s="31" t="s">
        <v>316</v>
      </c>
      <c r="L73" s="32" t="str">
        <f t="shared" si="5"/>
        <v>INCLUDE</v>
      </c>
      <c r="M73" s="32" t="str">
        <f t="shared" si="6"/>
        <v/>
      </c>
      <c r="N73" s="33" t="s">
        <v>58</v>
      </c>
      <c r="O73" s="33" t="s">
        <v>58</v>
      </c>
      <c r="P73" s="34"/>
      <c r="Q73" s="34"/>
      <c r="R73" s="34"/>
      <c r="S73" s="32" t="str">
        <f t="shared" si="7"/>
        <v/>
      </c>
      <c r="T73" s="32" t="str">
        <f t="shared" si="8"/>
        <v/>
      </c>
      <c r="U73" s="35"/>
      <c r="V73" s="35"/>
      <c r="W73" s="35"/>
      <c r="X73" s="35"/>
      <c r="Y73" s="32" t="str">
        <f t="shared" si="9"/>
        <v/>
      </c>
      <c r="Z73" s="35"/>
      <c r="AA73" s="35"/>
      <c r="AB73" s="35"/>
      <c r="AC73" s="35"/>
      <c r="AD73" s="35"/>
      <c r="AE73" s="35"/>
      <c r="AF73" s="35"/>
      <c r="AG73" s="15" t="s">
        <v>389</v>
      </c>
    </row>
    <row r="74" spans="1:33" ht="22.8" x14ac:dyDescent="0.3">
      <c r="A74" s="30">
        <v>3625</v>
      </c>
      <c r="B74" s="9"/>
      <c r="C74" s="36"/>
      <c r="D74" s="9"/>
      <c r="E74" s="9" t="s">
        <v>808</v>
      </c>
      <c r="F74" s="30" t="s">
        <v>314</v>
      </c>
      <c r="G74" s="31" t="s">
        <v>317</v>
      </c>
      <c r="H74" s="31" t="s">
        <v>316</v>
      </c>
      <c r="I74" s="31" t="s">
        <v>316</v>
      </c>
      <c r="J74" s="31" t="s">
        <v>316</v>
      </c>
      <c r="K74" s="31" t="s">
        <v>317</v>
      </c>
      <c r="L74" s="32" t="str">
        <f t="shared" si="5"/>
        <v>EXCLUDE</v>
      </c>
      <c r="M74" s="32" t="str">
        <f t="shared" si="6"/>
        <v>Wrong domain (non-AECO)</v>
      </c>
      <c r="N74" s="33"/>
      <c r="O74" s="33"/>
      <c r="P74" s="34"/>
      <c r="Q74" s="34"/>
      <c r="R74" s="34"/>
      <c r="S74" s="32" t="str">
        <f t="shared" si="7"/>
        <v/>
      </c>
      <c r="T74" s="32" t="str">
        <f t="shared" si="8"/>
        <v/>
      </c>
      <c r="U74" s="35"/>
      <c r="V74" s="35"/>
      <c r="W74" s="35"/>
      <c r="X74" s="35"/>
      <c r="Y74" s="32" t="str">
        <f t="shared" si="9"/>
        <v/>
      </c>
      <c r="Z74" s="35"/>
      <c r="AA74" s="35"/>
      <c r="AB74" s="35"/>
      <c r="AC74" s="35"/>
      <c r="AD74" s="35"/>
      <c r="AE74" s="35"/>
      <c r="AF74" s="35"/>
      <c r="AG74" s="15" t="s">
        <v>390</v>
      </c>
    </row>
    <row r="75" spans="1:33" ht="34.200000000000003" x14ac:dyDescent="0.3">
      <c r="A75" s="30">
        <v>3906</v>
      </c>
      <c r="B75" s="9" t="s">
        <v>192</v>
      </c>
      <c r="C75" s="36">
        <v>2022</v>
      </c>
      <c r="D75" s="9"/>
      <c r="E75" s="9" t="s">
        <v>809</v>
      </c>
      <c r="F75" s="30" t="s">
        <v>315</v>
      </c>
      <c r="G75" s="31" t="s">
        <v>316</v>
      </c>
      <c r="H75" s="31" t="s">
        <v>316</v>
      </c>
      <c r="I75" s="31" t="s">
        <v>316</v>
      </c>
      <c r="J75" s="31" t="s">
        <v>316</v>
      </c>
      <c r="K75" s="31" t="s">
        <v>316</v>
      </c>
      <c r="L75" s="32" t="str">
        <f t="shared" si="5"/>
        <v>INCLUDE</v>
      </c>
      <c r="M75" s="32" t="str">
        <f t="shared" si="6"/>
        <v/>
      </c>
      <c r="N75" s="33" t="s">
        <v>49</v>
      </c>
      <c r="O75" s="33" t="s">
        <v>49</v>
      </c>
      <c r="P75" s="34" t="s">
        <v>49</v>
      </c>
      <c r="Q75" s="34" t="s">
        <v>49</v>
      </c>
      <c r="R75" s="34" t="s">
        <v>49</v>
      </c>
      <c r="S75" s="32" t="str">
        <f t="shared" si="7"/>
        <v>INCLUDE</v>
      </c>
      <c r="T75" s="32" t="str">
        <f t="shared" si="8"/>
        <v/>
      </c>
      <c r="U75" s="35" t="s">
        <v>82</v>
      </c>
      <c r="V75" s="35">
        <v>1</v>
      </c>
      <c r="W75" s="35">
        <v>1</v>
      </c>
      <c r="X75" s="35">
        <v>1</v>
      </c>
      <c r="Y75" s="32" t="str">
        <f t="shared" si="9"/>
        <v>Multi</v>
      </c>
      <c r="Z75" s="35" t="s">
        <v>69</v>
      </c>
      <c r="AA75" s="35" t="s">
        <v>53</v>
      </c>
      <c r="AB75" s="35" t="s">
        <v>91</v>
      </c>
      <c r="AC75" s="35" t="s">
        <v>64</v>
      </c>
      <c r="AD75" s="35" t="s">
        <v>56</v>
      </c>
      <c r="AE75" s="35">
        <v>3</v>
      </c>
      <c r="AF75" s="35" t="s">
        <v>57</v>
      </c>
      <c r="AG75" s="15" t="s">
        <v>391</v>
      </c>
    </row>
    <row r="76" spans="1:33" ht="22.8" x14ac:dyDescent="0.3">
      <c r="A76" s="30">
        <v>3921</v>
      </c>
      <c r="B76" s="9"/>
      <c r="C76" s="36"/>
      <c r="D76" s="9"/>
      <c r="E76" s="9" t="s">
        <v>810</v>
      </c>
      <c r="F76" s="30" t="s">
        <v>315</v>
      </c>
      <c r="G76" s="31" t="s">
        <v>316</v>
      </c>
      <c r="H76" s="31" t="s">
        <v>316</v>
      </c>
      <c r="I76" s="31" t="s">
        <v>317</v>
      </c>
      <c r="J76" s="31" t="s">
        <v>316</v>
      </c>
      <c r="K76" s="31" t="s">
        <v>316</v>
      </c>
      <c r="L76" s="32" t="str">
        <f t="shared" si="5"/>
        <v>EXCLUDE</v>
      </c>
      <c r="M76" s="32" t="str">
        <f t="shared" si="6"/>
        <v>No Design for Safety/Quality/PtD</v>
      </c>
      <c r="N76" s="33"/>
      <c r="O76" s="33"/>
      <c r="P76" s="34"/>
      <c r="Q76" s="34"/>
      <c r="R76" s="34"/>
      <c r="S76" s="32" t="str">
        <f t="shared" si="7"/>
        <v/>
      </c>
      <c r="T76" s="32" t="str">
        <f t="shared" si="8"/>
        <v/>
      </c>
      <c r="U76" s="35"/>
      <c r="V76" s="35"/>
      <c r="W76" s="35"/>
      <c r="X76" s="35"/>
      <c r="Y76" s="32" t="str">
        <f t="shared" si="9"/>
        <v/>
      </c>
      <c r="Z76" s="35"/>
      <c r="AA76" s="35"/>
      <c r="AB76" s="35"/>
      <c r="AC76" s="35"/>
      <c r="AD76" s="35"/>
      <c r="AE76" s="35"/>
      <c r="AF76" s="35"/>
      <c r="AG76" s="15" t="s">
        <v>392</v>
      </c>
    </row>
    <row r="77" spans="1:33" ht="22.8" x14ac:dyDescent="0.3">
      <c r="A77" s="30">
        <v>4046</v>
      </c>
      <c r="B77" s="9" t="s">
        <v>193</v>
      </c>
      <c r="C77" s="36">
        <v>2024</v>
      </c>
      <c r="D77" s="9"/>
      <c r="E77" s="9" t="s">
        <v>811</v>
      </c>
      <c r="F77" s="30" t="s">
        <v>315</v>
      </c>
      <c r="G77" s="31" t="s">
        <v>316</v>
      </c>
      <c r="H77" s="31" t="s">
        <v>316</v>
      </c>
      <c r="I77" s="31" t="s">
        <v>316</v>
      </c>
      <c r="J77" s="31" t="s">
        <v>316</v>
      </c>
      <c r="K77" s="31" t="s">
        <v>316</v>
      </c>
      <c r="L77" s="32" t="str">
        <f t="shared" si="5"/>
        <v>INCLUDE</v>
      </c>
      <c r="M77" s="32" t="str">
        <f t="shared" si="6"/>
        <v/>
      </c>
      <c r="N77" s="33" t="s">
        <v>58</v>
      </c>
      <c r="O77" s="33" t="s">
        <v>58</v>
      </c>
      <c r="P77" s="34"/>
      <c r="Q77" s="34"/>
      <c r="R77" s="34"/>
      <c r="S77" s="32" t="str">
        <f t="shared" si="7"/>
        <v/>
      </c>
      <c r="T77" s="32" t="str">
        <f t="shared" si="8"/>
        <v/>
      </c>
      <c r="U77" s="35"/>
      <c r="V77" s="35"/>
      <c r="W77" s="35"/>
      <c r="X77" s="35"/>
      <c r="Y77" s="32" t="str">
        <f t="shared" si="9"/>
        <v/>
      </c>
      <c r="Z77" s="35"/>
      <c r="AA77" s="35"/>
      <c r="AB77" s="35"/>
      <c r="AC77" s="35"/>
      <c r="AD77" s="35"/>
      <c r="AE77" s="35"/>
      <c r="AF77" s="35"/>
      <c r="AG77" s="15" t="s">
        <v>393</v>
      </c>
    </row>
    <row r="78" spans="1:33" ht="22.8" x14ac:dyDescent="0.3">
      <c r="A78" s="30">
        <v>3912</v>
      </c>
      <c r="B78" s="9"/>
      <c r="C78" s="36"/>
      <c r="D78" s="9"/>
      <c r="E78" s="9" t="s">
        <v>812</v>
      </c>
      <c r="F78" s="30" t="s">
        <v>315</v>
      </c>
      <c r="G78" s="31" t="s">
        <v>316</v>
      </c>
      <c r="H78" s="31" t="s">
        <v>317</v>
      </c>
      <c r="I78" s="31" t="s">
        <v>316</v>
      </c>
      <c r="J78" s="31" t="s">
        <v>316</v>
      </c>
      <c r="K78" s="31" t="s">
        <v>316</v>
      </c>
      <c r="L78" s="32" t="str">
        <f t="shared" si="5"/>
        <v>EXCLUDE</v>
      </c>
      <c r="M78" s="32" t="str">
        <f t="shared" si="6"/>
        <v>Digital Twin not core / buzzword</v>
      </c>
      <c r="N78" s="33"/>
      <c r="O78" s="33"/>
      <c r="P78" s="34"/>
      <c r="Q78" s="34"/>
      <c r="R78" s="34"/>
      <c r="S78" s="32" t="str">
        <f t="shared" si="7"/>
        <v/>
      </c>
      <c r="T78" s="32" t="str">
        <f t="shared" si="8"/>
        <v/>
      </c>
      <c r="U78" s="35"/>
      <c r="V78" s="35"/>
      <c r="W78" s="35"/>
      <c r="X78" s="35"/>
      <c r="Y78" s="32" t="str">
        <f t="shared" si="9"/>
        <v/>
      </c>
      <c r="Z78" s="35"/>
      <c r="AA78" s="35"/>
      <c r="AB78" s="35"/>
      <c r="AC78" s="35"/>
      <c r="AD78" s="35"/>
      <c r="AE78" s="35"/>
      <c r="AF78" s="35"/>
      <c r="AG78" s="15" t="s">
        <v>394</v>
      </c>
    </row>
    <row r="79" spans="1:33" ht="22.8" x14ac:dyDescent="0.3">
      <c r="A79" s="30">
        <v>4029</v>
      </c>
      <c r="B79" s="9" t="s">
        <v>194</v>
      </c>
      <c r="C79" s="36">
        <v>2023</v>
      </c>
      <c r="D79" s="9"/>
      <c r="E79" s="9" t="s">
        <v>813</v>
      </c>
      <c r="F79" s="30" t="s">
        <v>315</v>
      </c>
      <c r="G79" s="31" t="s">
        <v>316</v>
      </c>
      <c r="H79" s="31" t="s">
        <v>316</v>
      </c>
      <c r="I79" s="31" t="s">
        <v>316</v>
      </c>
      <c r="J79" s="31" t="s">
        <v>316</v>
      </c>
      <c r="K79" s="31" t="s">
        <v>316</v>
      </c>
      <c r="L79" s="32" t="str">
        <f t="shared" si="5"/>
        <v>INCLUDE</v>
      </c>
      <c r="M79" s="32" t="str">
        <f t="shared" si="6"/>
        <v/>
      </c>
      <c r="N79" s="33" t="s">
        <v>58</v>
      </c>
      <c r="O79" s="33" t="s">
        <v>58</v>
      </c>
      <c r="P79" s="34"/>
      <c r="Q79" s="34"/>
      <c r="R79" s="34"/>
      <c r="S79" s="32" t="str">
        <f t="shared" si="7"/>
        <v/>
      </c>
      <c r="T79" s="32" t="str">
        <f t="shared" si="8"/>
        <v/>
      </c>
      <c r="U79" s="35"/>
      <c r="V79" s="35"/>
      <c r="W79" s="35"/>
      <c r="X79" s="35"/>
      <c r="Y79" s="32" t="str">
        <f t="shared" si="9"/>
        <v/>
      </c>
      <c r="Z79" s="35"/>
      <c r="AA79" s="35"/>
      <c r="AB79" s="35"/>
      <c r="AC79" s="35"/>
      <c r="AD79" s="35"/>
      <c r="AE79" s="35"/>
      <c r="AF79" s="35"/>
      <c r="AG79" s="15" t="s">
        <v>395</v>
      </c>
    </row>
    <row r="80" spans="1:33" ht="22.8" x14ac:dyDescent="0.3">
      <c r="A80" s="30">
        <v>3782</v>
      </c>
      <c r="B80" s="9"/>
      <c r="C80" s="36"/>
      <c r="D80" s="9"/>
      <c r="E80" s="9" t="s">
        <v>814</v>
      </c>
      <c r="F80" s="30" t="s">
        <v>314</v>
      </c>
      <c r="G80" s="31" t="s">
        <v>316</v>
      </c>
      <c r="H80" s="31" t="s">
        <v>317</v>
      </c>
      <c r="I80" s="31" t="s">
        <v>316</v>
      </c>
      <c r="J80" s="31" t="s">
        <v>316</v>
      </c>
      <c r="K80" s="31" t="s">
        <v>316</v>
      </c>
      <c r="L80" s="32" t="str">
        <f t="shared" si="5"/>
        <v>EXCLUDE</v>
      </c>
      <c r="M80" s="32" t="str">
        <f t="shared" si="6"/>
        <v>Digital Twin not core / buzzword</v>
      </c>
      <c r="N80" s="33"/>
      <c r="O80" s="33"/>
      <c r="P80" s="34"/>
      <c r="Q80" s="34"/>
      <c r="R80" s="34"/>
      <c r="S80" s="32" t="str">
        <f t="shared" si="7"/>
        <v/>
      </c>
      <c r="T80" s="32" t="str">
        <f t="shared" si="8"/>
        <v/>
      </c>
      <c r="U80" s="35"/>
      <c r="V80" s="35"/>
      <c r="W80" s="35"/>
      <c r="X80" s="35"/>
      <c r="Y80" s="32" t="str">
        <f t="shared" si="9"/>
        <v/>
      </c>
      <c r="Z80" s="35"/>
      <c r="AA80" s="35"/>
      <c r="AB80" s="35"/>
      <c r="AC80" s="35"/>
      <c r="AD80" s="35"/>
      <c r="AE80" s="35"/>
      <c r="AF80" s="35"/>
      <c r="AG80" s="15" t="s">
        <v>396</v>
      </c>
    </row>
    <row r="81" spans="1:33" ht="22.8" x14ac:dyDescent="0.3">
      <c r="A81" s="30">
        <v>3955</v>
      </c>
      <c r="B81" s="9"/>
      <c r="C81" s="36"/>
      <c r="D81" s="9"/>
      <c r="E81" s="9" t="s">
        <v>815</v>
      </c>
      <c r="F81" s="30" t="s">
        <v>315</v>
      </c>
      <c r="G81" s="31" t="s">
        <v>316</v>
      </c>
      <c r="H81" s="31" t="s">
        <v>316</v>
      </c>
      <c r="I81" s="31" t="s">
        <v>317</v>
      </c>
      <c r="J81" s="31" t="s">
        <v>316</v>
      </c>
      <c r="K81" s="31" t="s">
        <v>316</v>
      </c>
      <c r="L81" s="32" t="str">
        <f t="shared" si="5"/>
        <v>EXCLUDE</v>
      </c>
      <c r="M81" s="32" t="str">
        <f t="shared" si="6"/>
        <v>No Design for Safety/Quality/PtD</v>
      </c>
      <c r="N81" s="33"/>
      <c r="O81" s="33"/>
      <c r="P81" s="34"/>
      <c r="Q81" s="34"/>
      <c r="R81" s="34"/>
      <c r="S81" s="32" t="str">
        <f t="shared" si="7"/>
        <v/>
      </c>
      <c r="T81" s="32" t="str">
        <f t="shared" si="8"/>
        <v/>
      </c>
      <c r="U81" s="35"/>
      <c r="V81" s="35"/>
      <c r="W81" s="35"/>
      <c r="X81" s="35"/>
      <c r="Y81" s="32" t="str">
        <f t="shared" si="9"/>
        <v/>
      </c>
      <c r="Z81" s="35"/>
      <c r="AA81" s="35"/>
      <c r="AB81" s="35"/>
      <c r="AC81" s="35"/>
      <c r="AD81" s="35"/>
      <c r="AE81" s="35"/>
      <c r="AF81" s="35"/>
      <c r="AG81" s="15" t="s">
        <v>397</v>
      </c>
    </row>
    <row r="82" spans="1:33" x14ac:dyDescent="0.3">
      <c r="A82" s="30">
        <v>3632</v>
      </c>
      <c r="B82" s="9"/>
      <c r="C82" s="36"/>
      <c r="D82" s="9"/>
      <c r="E82" s="9" t="s">
        <v>816</v>
      </c>
      <c r="F82" s="30" t="s">
        <v>314</v>
      </c>
      <c r="G82" s="31" t="s">
        <v>316</v>
      </c>
      <c r="H82" s="31" t="s">
        <v>317</v>
      </c>
      <c r="I82" s="31" t="s">
        <v>317</v>
      </c>
      <c r="J82" s="31" t="s">
        <v>316</v>
      </c>
      <c r="K82" s="31" t="s">
        <v>316</v>
      </c>
      <c r="L82" s="32" t="str">
        <f t="shared" si="5"/>
        <v>EXCLUDE</v>
      </c>
      <c r="M82" s="32" t="str">
        <f t="shared" si="6"/>
        <v>Digital Twin not core / buzzword</v>
      </c>
      <c r="N82" s="33"/>
      <c r="O82" s="33"/>
      <c r="P82" s="34"/>
      <c r="Q82" s="34"/>
      <c r="R82" s="34"/>
      <c r="S82" s="32" t="str">
        <f t="shared" si="7"/>
        <v/>
      </c>
      <c r="T82" s="32" t="str">
        <f t="shared" si="8"/>
        <v/>
      </c>
      <c r="U82" s="35"/>
      <c r="V82" s="35"/>
      <c r="W82" s="35"/>
      <c r="X82" s="35"/>
      <c r="Y82" s="32" t="str">
        <f t="shared" si="9"/>
        <v/>
      </c>
      <c r="Z82" s="35"/>
      <c r="AA82" s="35"/>
      <c r="AB82" s="35"/>
      <c r="AC82" s="35"/>
      <c r="AD82" s="35"/>
      <c r="AE82" s="35"/>
      <c r="AF82" s="35"/>
      <c r="AG82" s="15" t="s">
        <v>398</v>
      </c>
    </row>
    <row r="83" spans="1:33" ht="22.8" x14ac:dyDescent="0.3">
      <c r="A83" s="30">
        <v>4048</v>
      </c>
      <c r="B83" s="9"/>
      <c r="C83" s="36"/>
      <c r="D83" s="9"/>
      <c r="E83" s="9" t="s">
        <v>817</v>
      </c>
      <c r="F83" s="30" t="s">
        <v>315</v>
      </c>
      <c r="G83" s="31" t="s">
        <v>316</v>
      </c>
      <c r="H83" s="31" t="s">
        <v>317</v>
      </c>
      <c r="I83" s="31" t="s">
        <v>317</v>
      </c>
      <c r="J83" s="31" t="s">
        <v>316</v>
      </c>
      <c r="K83" s="31" t="s">
        <v>317</v>
      </c>
      <c r="L83" s="32" t="str">
        <f t="shared" si="5"/>
        <v>EXCLUDE</v>
      </c>
      <c r="M83" s="32" t="str">
        <f t="shared" si="6"/>
        <v>Digital Twin not core / buzzword</v>
      </c>
      <c r="N83" s="33"/>
      <c r="O83" s="33"/>
      <c r="P83" s="34"/>
      <c r="Q83" s="34"/>
      <c r="R83" s="34"/>
      <c r="S83" s="32" t="str">
        <f t="shared" si="7"/>
        <v/>
      </c>
      <c r="T83" s="32" t="str">
        <f t="shared" si="8"/>
        <v/>
      </c>
      <c r="U83" s="35"/>
      <c r="V83" s="35"/>
      <c r="W83" s="35"/>
      <c r="X83" s="35"/>
      <c r="Y83" s="32" t="str">
        <f t="shared" si="9"/>
        <v/>
      </c>
      <c r="Z83" s="35"/>
      <c r="AA83" s="35"/>
      <c r="AB83" s="35"/>
      <c r="AC83" s="35"/>
      <c r="AD83" s="35"/>
      <c r="AE83" s="35"/>
      <c r="AF83" s="35"/>
      <c r="AG83" s="15" t="s">
        <v>399</v>
      </c>
    </row>
    <row r="84" spans="1:33" ht="22.8" x14ac:dyDescent="0.3">
      <c r="A84" s="30">
        <v>3824</v>
      </c>
      <c r="B84" s="9"/>
      <c r="C84" s="36"/>
      <c r="D84" s="9"/>
      <c r="E84" s="9" t="s">
        <v>818</v>
      </c>
      <c r="F84" s="30" t="s">
        <v>314</v>
      </c>
      <c r="G84" s="31" t="s">
        <v>317</v>
      </c>
      <c r="H84" s="31" t="s">
        <v>316</v>
      </c>
      <c r="I84" s="31" t="s">
        <v>317</v>
      </c>
      <c r="J84" s="31" t="s">
        <v>316</v>
      </c>
      <c r="K84" s="31" t="s">
        <v>316</v>
      </c>
      <c r="L84" s="32" t="str">
        <f t="shared" si="5"/>
        <v>EXCLUDE</v>
      </c>
      <c r="M84" s="32" t="str">
        <f t="shared" si="6"/>
        <v>Wrong domain (non-AECO)</v>
      </c>
      <c r="N84" s="33"/>
      <c r="O84" s="33"/>
      <c r="P84" s="34"/>
      <c r="Q84" s="34"/>
      <c r="R84" s="34"/>
      <c r="S84" s="32" t="str">
        <f t="shared" si="7"/>
        <v/>
      </c>
      <c r="T84" s="32" t="str">
        <f t="shared" si="8"/>
        <v/>
      </c>
      <c r="U84" s="35"/>
      <c r="V84" s="35"/>
      <c r="W84" s="35"/>
      <c r="X84" s="35"/>
      <c r="Y84" s="32" t="str">
        <f t="shared" si="9"/>
        <v/>
      </c>
      <c r="Z84" s="35"/>
      <c r="AA84" s="35"/>
      <c r="AB84" s="35"/>
      <c r="AC84" s="35"/>
      <c r="AD84" s="35"/>
      <c r="AE84" s="35"/>
      <c r="AF84" s="35"/>
      <c r="AG84" s="15" t="s">
        <v>400</v>
      </c>
    </row>
    <row r="85" spans="1:33" ht="22.8" x14ac:dyDescent="0.3">
      <c r="A85" s="30">
        <v>3493</v>
      </c>
      <c r="B85" s="9" t="s">
        <v>195</v>
      </c>
      <c r="C85" s="36">
        <v>2024</v>
      </c>
      <c r="D85" s="9"/>
      <c r="E85" s="9" t="s">
        <v>819</v>
      </c>
      <c r="F85" s="30" t="s">
        <v>314</v>
      </c>
      <c r="G85" s="31" t="s">
        <v>316</v>
      </c>
      <c r="H85" s="31" t="s">
        <v>316</v>
      </c>
      <c r="I85" s="31" t="s">
        <v>316</v>
      </c>
      <c r="J85" s="31" t="s">
        <v>316</v>
      </c>
      <c r="K85" s="31" t="s">
        <v>316</v>
      </c>
      <c r="L85" s="32" t="str">
        <f t="shared" si="5"/>
        <v>INCLUDE</v>
      </c>
      <c r="M85" s="32" t="str">
        <f t="shared" si="6"/>
        <v/>
      </c>
      <c r="N85" s="33" t="s">
        <v>58</v>
      </c>
      <c r="O85" s="33" t="s">
        <v>58</v>
      </c>
      <c r="P85" s="34"/>
      <c r="Q85" s="34"/>
      <c r="R85" s="34"/>
      <c r="S85" s="32" t="str">
        <f t="shared" si="7"/>
        <v/>
      </c>
      <c r="T85" s="32" t="str">
        <f t="shared" si="8"/>
        <v/>
      </c>
      <c r="U85" s="35"/>
      <c r="V85" s="35"/>
      <c r="W85" s="35"/>
      <c r="X85" s="35"/>
      <c r="Y85" s="32" t="str">
        <f t="shared" si="9"/>
        <v/>
      </c>
      <c r="Z85" s="35"/>
      <c r="AA85" s="35"/>
      <c r="AB85" s="35"/>
      <c r="AC85" s="35"/>
      <c r="AD85" s="35"/>
      <c r="AE85" s="35"/>
      <c r="AF85" s="35"/>
      <c r="AG85" s="15" t="s">
        <v>401</v>
      </c>
    </row>
    <row r="86" spans="1:33" ht="22.8" x14ac:dyDescent="0.3">
      <c r="A86" s="30">
        <v>4032</v>
      </c>
      <c r="B86" s="9"/>
      <c r="C86" s="36"/>
      <c r="D86" s="9"/>
      <c r="E86" s="9" t="s">
        <v>820</v>
      </c>
      <c r="F86" s="30" t="s">
        <v>315</v>
      </c>
      <c r="G86" s="31" t="s">
        <v>317</v>
      </c>
      <c r="H86" s="31" t="s">
        <v>316</v>
      </c>
      <c r="I86" s="31" t="s">
        <v>316</v>
      </c>
      <c r="J86" s="31" t="s">
        <v>316</v>
      </c>
      <c r="K86" s="31" t="s">
        <v>316</v>
      </c>
      <c r="L86" s="32" t="str">
        <f t="shared" si="5"/>
        <v>EXCLUDE</v>
      </c>
      <c r="M86" s="32" t="str">
        <f t="shared" si="6"/>
        <v>Wrong domain (non-AECO)</v>
      </c>
      <c r="N86" s="33"/>
      <c r="O86" s="33"/>
      <c r="P86" s="34"/>
      <c r="Q86" s="34"/>
      <c r="R86" s="34"/>
      <c r="S86" s="32" t="str">
        <f t="shared" si="7"/>
        <v/>
      </c>
      <c r="T86" s="32" t="str">
        <f t="shared" si="8"/>
        <v/>
      </c>
      <c r="U86" s="35"/>
      <c r="V86" s="35"/>
      <c r="W86" s="35"/>
      <c r="X86" s="35"/>
      <c r="Y86" s="32" t="str">
        <f t="shared" si="9"/>
        <v/>
      </c>
      <c r="Z86" s="35"/>
      <c r="AA86" s="35"/>
      <c r="AB86" s="35"/>
      <c r="AC86" s="35"/>
      <c r="AD86" s="35"/>
      <c r="AE86" s="35"/>
      <c r="AF86" s="35"/>
      <c r="AG86" s="15" t="s">
        <v>402</v>
      </c>
    </row>
    <row r="87" spans="1:33" ht="79.8" x14ac:dyDescent="0.3">
      <c r="A87" s="30">
        <v>3775</v>
      </c>
      <c r="B87" s="9" t="s">
        <v>196</v>
      </c>
      <c r="C87" s="36">
        <v>2025</v>
      </c>
      <c r="D87" s="9"/>
      <c r="E87" s="9" t="s">
        <v>821</v>
      </c>
      <c r="F87" s="30" t="s">
        <v>314</v>
      </c>
      <c r="G87" s="31" t="s">
        <v>316</v>
      </c>
      <c r="H87" s="31" t="s">
        <v>316</v>
      </c>
      <c r="I87" s="31" t="s">
        <v>316</v>
      </c>
      <c r="J87" s="31" t="s">
        <v>316</v>
      </c>
      <c r="K87" s="31" t="s">
        <v>316</v>
      </c>
      <c r="L87" s="32" t="str">
        <f t="shared" si="5"/>
        <v>INCLUDE</v>
      </c>
      <c r="M87" s="32" t="str">
        <f t="shared" si="6"/>
        <v/>
      </c>
      <c r="N87" s="33" t="s">
        <v>49</v>
      </c>
      <c r="O87" s="33" t="s">
        <v>49</v>
      </c>
      <c r="P87" s="34" t="s">
        <v>49</v>
      </c>
      <c r="Q87" s="34" t="s">
        <v>49</v>
      </c>
      <c r="R87" s="34" t="s">
        <v>49</v>
      </c>
      <c r="S87" s="32" t="str">
        <f t="shared" si="7"/>
        <v>INCLUDE</v>
      </c>
      <c r="T87" s="32" t="str">
        <f t="shared" si="8"/>
        <v/>
      </c>
      <c r="U87" s="35" t="s">
        <v>61</v>
      </c>
      <c r="V87" s="35">
        <v>0</v>
      </c>
      <c r="W87" s="35">
        <v>1</v>
      </c>
      <c r="X87" s="35">
        <v>0</v>
      </c>
      <c r="Y87" s="32" t="str">
        <f t="shared" si="9"/>
        <v>Single</v>
      </c>
      <c r="Z87" s="35" t="s">
        <v>9</v>
      </c>
      <c r="AA87" s="35" t="s">
        <v>53</v>
      </c>
      <c r="AB87" s="35" t="s">
        <v>92</v>
      </c>
      <c r="AC87" s="35" t="s">
        <v>55</v>
      </c>
      <c r="AD87" s="35" t="s">
        <v>65</v>
      </c>
      <c r="AE87" s="35">
        <v>3</v>
      </c>
      <c r="AF87" s="35" t="s">
        <v>84</v>
      </c>
      <c r="AG87" s="15" t="s">
        <v>403</v>
      </c>
    </row>
    <row r="88" spans="1:33" x14ac:dyDescent="0.3">
      <c r="A88" s="30">
        <v>3826</v>
      </c>
      <c r="B88" s="9"/>
      <c r="C88" s="36"/>
      <c r="D88" s="9"/>
      <c r="E88" s="9" t="s">
        <v>822</v>
      </c>
      <c r="F88" s="30" t="s">
        <v>314</v>
      </c>
      <c r="G88" s="31" t="s">
        <v>317</v>
      </c>
      <c r="H88" s="31" t="s">
        <v>317</v>
      </c>
      <c r="I88" s="31" t="s">
        <v>317</v>
      </c>
      <c r="J88" s="31" t="s">
        <v>316</v>
      </c>
      <c r="K88" s="31" t="s">
        <v>316</v>
      </c>
      <c r="L88" s="32" t="str">
        <f t="shared" si="5"/>
        <v>EXCLUDE</v>
      </c>
      <c r="M88" s="32" t="str">
        <f t="shared" si="6"/>
        <v>Wrong domain (non-AECO)</v>
      </c>
      <c r="N88" s="33"/>
      <c r="O88" s="33"/>
      <c r="P88" s="34"/>
      <c r="Q88" s="34"/>
      <c r="R88" s="34"/>
      <c r="S88" s="32" t="str">
        <f t="shared" si="7"/>
        <v/>
      </c>
      <c r="T88" s="32" t="str">
        <f t="shared" si="8"/>
        <v/>
      </c>
      <c r="U88" s="35"/>
      <c r="V88" s="35"/>
      <c r="W88" s="35"/>
      <c r="X88" s="35"/>
      <c r="Y88" s="32" t="str">
        <f t="shared" si="9"/>
        <v/>
      </c>
      <c r="Z88" s="35"/>
      <c r="AA88" s="35"/>
      <c r="AB88" s="35"/>
      <c r="AC88" s="35"/>
      <c r="AD88" s="35"/>
      <c r="AE88" s="35"/>
      <c r="AF88" s="35"/>
      <c r="AG88" s="15" t="s">
        <v>404</v>
      </c>
    </row>
    <row r="89" spans="1:33" ht="22.8" x14ac:dyDescent="0.3">
      <c r="A89" s="30">
        <v>3876</v>
      </c>
      <c r="B89" s="9" t="s">
        <v>197</v>
      </c>
      <c r="C89" s="36">
        <v>2024</v>
      </c>
      <c r="D89" s="9"/>
      <c r="E89" s="9" t="s">
        <v>823</v>
      </c>
      <c r="F89" s="30" t="s">
        <v>315</v>
      </c>
      <c r="G89" s="31" t="s">
        <v>316</v>
      </c>
      <c r="H89" s="31" t="s">
        <v>316</v>
      </c>
      <c r="I89" s="31" t="s">
        <v>316</v>
      </c>
      <c r="J89" s="31" t="s">
        <v>316</v>
      </c>
      <c r="K89" s="31" t="s">
        <v>316</v>
      </c>
      <c r="L89" s="32" t="str">
        <f t="shared" si="5"/>
        <v>INCLUDE</v>
      </c>
      <c r="M89" s="32" t="str">
        <f t="shared" si="6"/>
        <v/>
      </c>
      <c r="N89" s="33" t="s">
        <v>58</v>
      </c>
      <c r="O89" s="33" t="s">
        <v>58</v>
      </c>
      <c r="P89" s="34"/>
      <c r="Q89" s="34"/>
      <c r="R89" s="34"/>
      <c r="S89" s="32" t="str">
        <f t="shared" si="7"/>
        <v/>
      </c>
      <c r="T89" s="32" t="str">
        <f t="shared" si="8"/>
        <v/>
      </c>
      <c r="U89" s="35"/>
      <c r="V89" s="35"/>
      <c r="W89" s="35"/>
      <c r="X89" s="35"/>
      <c r="Y89" s="32" t="str">
        <f t="shared" si="9"/>
        <v/>
      </c>
      <c r="Z89" s="35"/>
      <c r="AA89" s="35"/>
      <c r="AB89" s="35"/>
      <c r="AC89" s="35"/>
      <c r="AD89" s="35"/>
      <c r="AE89" s="35"/>
      <c r="AF89" s="35"/>
      <c r="AG89" s="15" t="s">
        <v>405</v>
      </c>
    </row>
    <row r="90" spans="1:33" ht="22.8" x14ac:dyDescent="0.3">
      <c r="A90" s="30">
        <v>3786</v>
      </c>
      <c r="B90" s="9"/>
      <c r="C90" s="36"/>
      <c r="D90" s="9"/>
      <c r="E90" s="9" t="s">
        <v>824</v>
      </c>
      <c r="F90" s="30" t="s">
        <v>314</v>
      </c>
      <c r="G90" s="31" t="s">
        <v>317</v>
      </c>
      <c r="H90" s="31" t="s">
        <v>317</v>
      </c>
      <c r="I90" s="31" t="s">
        <v>317</v>
      </c>
      <c r="J90" s="31" t="s">
        <v>316</v>
      </c>
      <c r="K90" s="31" t="s">
        <v>316</v>
      </c>
      <c r="L90" s="32" t="str">
        <f t="shared" si="5"/>
        <v>EXCLUDE</v>
      </c>
      <c r="M90" s="32" t="str">
        <f t="shared" si="6"/>
        <v>Wrong domain (non-AECO)</v>
      </c>
      <c r="N90" s="33"/>
      <c r="O90" s="33"/>
      <c r="P90" s="34"/>
      <c r="Q90" s="34"/>
      <c r="R90" s="34"/>
      <c r="S90" s="32" t="str">
        <f t="shared" si="7"/>
        <v/>
      </c>
      <c r="T90" s="32" t="str">
        <f t="shared" si="8"/>
        <v/>
      </c>
      <c r="U90" s="35"/>
      <c r="V90" s="35"/>
      <c r="W90" s="35"/>
      <c r="X90" s="35"/>
      <c r="Y90" s="32" t="str">
        <f t="shared" si="9"/>
        <v/>
      </c>
      <c r="Z90" s="35"/>
      <c r="AA90" s="35"/>
      <c r="AB90" s="35"/>
      <c r="AC90" s="35"/>
      <c r="AD90" s="35"/>
      <c r="AE90" s="35"/>
      <c r="AF90" s="35"/>
      <c r="AG90" s="15" t="s">
        <v>406</v>
      </c>
    </row>
    <row r="91" spans="1:33" ht="22.8" x14ac:dyDescent="0.3">
      <c r="A91" s="30">
        <v>3778</v>
      </c>
      <c r="B91" s="9"/>
      <c r="C91" s="36"/>
      <c r="D91" s="9"/>
      <c r="E91" s="9" t="s">
        <v>825</v>
      </c>
      <c r="F91" s="30" t="s">
        <v>314</v>
      </c>
      <c r="G91" s="31" t="s">
        <v>317</v>
      </c>
      <c r="H91" s="31" t="s">
        <v>316</v>
      </c>
      <c r="I91" s="31" t="s">
        <v>316</v>
      </c>
      <c r="J91" s="31" t="s">
        <v>316</v>
      </c>
      <c r="K91" s="31" t="s">
        <v>317</v>
      </c>
      <c r="L91" s="32" t="str">
        <f t="shared" si="5"/>
        <v>EXCLUDE</v>
      </c>
      <c r="M91" s="32" t="str">
        <f t="shared" si="6"/>
        <v>Wrong domain (non-AECO)</v>
      </c>
      <c r="N91" s="33"/>
      <c r="O91" s="33"/>
      <c r="P91" s="34"/>
      <c r="Q91" s="34"/>
      <c r="R91" s="34"/>
      <c r="S91" s="32" t="str">
        <f t="shared" si="7"/>
        <v/>
      </c>
      <c r="T91" s="32" t="str">
        <f t="shared" si="8"/>
        <v/>
      </c>
      <c r="U91" s="35"/>
      <c r="V91" s="35"/>
      <c r="W91" s="35"/>
      <c r="X91" s="35"/>
      <c r="Y91" s="32" t="str">
        <f t="shared" si="9"/>
        <v/>
      </c>
      <c r="Z91" s="35"/>
      <c r="AA91" s="35"/>
      <c r="AB91" s="35"/>
      <c r="AC91" s="35"/>
      <c r="AD91" s="35"/>
      <c r="AE91" s="35"/>
      <c r="AF91" s="35"/>
      <c r="AG91" s="15" t="s">
        <v>407</v>
      </c>
    </row>
    <row r="92" spans="1:33" ht="22.8" x14ac:dyDescent="0.3">
      <c r="A92" s="30">
        <v>3797</v>
      </c>
      <c r="B92" s="9"/>
      <c r="C92" s="36"/>
      <c r="D92" s="9"/>
      <c r="E92" s="9" t="s">
        <v>826</v>
      </c>
      <c r="F92" s="30" t="s">
        <v>314</v>
      </c>
      <c r="G92" s="31" t="s">
        <v>317</v>
      </c>
      <c r="H92" s="31" t="s">
        <v>316</v>
      </c>
      <c r="I92" s="31" t="s">
        <v>317</v>
      </c>
      <c r="J92" s="31" t="s">
        <v>316</v>
      </c>
      <c r="K92" s="31" t="s">
        <v>316</v>
      </c>
      <c r="L92" s="32" t="str">
        <f t="shared" si="5"/>
        <v>EXCLUDE</v>
      </c>
      <c r="M92" s="32" t="str">
        <f t="shared" si="6"/>
        <v>Wrong domain (non-AECO)</v>
      </c>
      <c r="N92" s="33"/>
      <c r="O92" s="33"/>
      <c r="P92" s="34"/>
      <c r="Q92" s="34"/>
      <c r="R92" s="34"/>
      <c r="S92" s="32" t="str">
        <f t="shared" si="7"/>
        <v/>
      </c>
      <c r="T92" s="32" t="str">
        <f t="shared" si="8"/>
        <v/>
      </c>
      <c r="U92" s="35"/>
      <c r="V92" s="35"/>
      <c r="W92" s="35"/>
      <c r="X92" s="35"/>
      <c r="Y92" s="32" t="str">
        <f t="shared" si="9"/>
        <v/>
      </c>
      <c r="Z92" s="35"/>
      <c r="AA92" s="35"/>
      <c r="AB92" s="35"/>
      <c r="AC92" s="35"/>
      <c r="AD92" s="35"/>
      <c r="AE92" s="35"/>
      <c r="AF92" s="35"/>
      <c r="AG92" s="15" t="s">
        <v>408</v>
      </c>
    </row>
    <row r="93" spans="1:33" ht="114" x14ac:dyDescent="0.3">
      <c r="A93" s="30">
        <v>3979</v>
      </c>
      <c r="B93" s="9" t="s">
        <v>198</v>
      </c>
      <c r="C93" s="36">
        <v>2025</v>
      </c>
      <c r="D93" s="9"/>
      <c r="E93" s="9" t="s">
        <v>827</v>
      </c>
      <c r="F93" s="30" t="s">
        <v>315</v>
      </c>
      <c r="G93" s="31" t="s">
        <v>316</v>
      </c>
      <c r="H93" s="31" t="s">
        <v>316</v>
      </c>
      <c r="I93" s="31" t="s">
        <v>316</v>
      </c>
      <c r="J93" s="31" t="s">
        <v>316</v>
      </c>
      <c r="K93" s="31" t="s">
        <v>316</v>
      </c>
      <c r="L93" s="32" t="str">
        <f t="shared" si="5"/>
        <v>INCLUDE</v>
      </c>
      <c r="M93" s="32" t="str">
        <f t="shared" si="6"/>
        <v/>
      </c>
      <c r="N93" s="33" t="s">
        <v>49</v>
      </c>
      <c r="O93" s="33" t="s">
        <v>49</v>
      </c>
      <c r="P93" s="34" t="s">
        <v>49</v>
      </c>
      <c r="Q93" s="34" t="s">
        <v>49</v>
      </c>
      <c r="R93" s="34" t="s">
        <v>49</v>
      </c>
      <c r="S93" s="32" t="str">
        <f t="shared" si="7"/>
        <v>INCLUDE</v>
      </c>
      <c r="T93" s="32" t="str">
        <f t="shared" si="8"/>
        <v/>
      </c>
      <c r="U93" s="35" t="s">
        <v>61</v>
      </c>
      <c r="V93" s="35">
        <v>0</v>
      </c>
      <c r="W93" s="35">
        <v>0</v>
      </c>
      <c r="X93" s="35">
        <v>1</v>
      </c>
      <c r="Y93" s="32" t="str">
        <f t="shared" si="9"/>
        <v>Single</v>
      </c>
      <c r="Z93" s="35" t="s">
        <v>9</v>
      </c>
      <c r="AA93" s="35" t="s">
        <v>70</v>
      </c>
      <c r="AB93" s="35" t="s">
        <v>85</v>
      </c>
      <c r="AC93" s="35" t="s">
        <v>64</v>
      </c>
      <c r="AD93" s="35" t="s">
        <v>72</v>
      </c>
      <c r="AE93" s="35">
        <v>4</v>
      </c>
      <c r="AF93" s="35" t="s">
        <v>84</v>
      </c>
      <c r="AG93" s="15" t="s">
        <v>409</v>
      </c>
    </row>
    <row r="94" spans="1:33" ht="22.8" x14ac:dyDescent="0.3">
      <c r="A94" s="30">
        <v>3962</v>
      </c>
      <c r="B94" s="9"/>
      <c r="C94" s="36"/>
      <c r="D94" s="9"/>
      <c r="E94" s="9" t="s">
        <v>828</v>
      </c>
      <c r="F94" s="30" t="s">
        <v>315</v>
      </c>
      <c r="G94" s="31" t="s">
        <v>316</v>
      </c>
      <c r="H94" s="31" t="s">
        <v>317</v>
      </c>
      <c r="I94" s="31" t="s">
        <v>316</v>
      </c>
      <c r="J94" s="31" t="s">
        <v>316</v>
      </c>
      <c r="K94" s="31" t="s">
        <v>316</v>
      </c>
      <c r="L94" s="32" t="str">
        <f t="shared" si="5"/>
        <v>EXCLUDE</v>
      </c>
      <c r="M94" s="32" t="str">
        <f t="shared" si="6"/>
        <v>Digital Twin not core / buzzword</v>
      </c>
      <c r="N94" s="33"/>
      <c r="O94" s="33"/>
      <c r="P94" s="34"/>
      <c r="Q94" s="34"/>
      <c r="R94" s="34"/>
      <c r="S94" s="32" t="str">
        <f t="shared" si="7"/>
        <v/>
      </c>
      <c r="T94" s="32" t="str">
        <f t="shared" si="8"/>
        <v/>
      </c>
      <c r="U94" s="35"/>
      <c r="V94" s="35"/>
      <c r="W94" s="35"/>
      <c r="X94" s="35"/>
      <c r="Y94" s="32" t="str">
        <f t="shared" si="9"/>
        <v/>
      </c>
      <c r="Z94" s="35"/>
      <c r="AA94" s="35"/>
      <c r="AB94" s="35"/>
      <c r="AC94" s="35"/>
      <c r="AD94" s="35"/>
      <c r="AE94" s="35"/>
      <c r="AF94" s="35"/>
      <c r="AG94" s="15" t="s">
        <v>410</v>
      </c>
    </row>
    <row r="95" spans="1:33" ht="22.8" x14ac:dyDescent="0.3">
      <c r="A95" s="30">
        <v>3542</v>
      </c>
      <c r="B95" s="9"/>
      <c r="C95" s="36"/>
      <c r="D95" s="9"/>
      <c r="E95" s="9" t="s">
        <v>829</v>
      </c>
      <c r="F95" s="30" t="s">
        <v>314</v>
      </c>
      <c r="G95" s="31" t="s">
        <v>317</v>
      </c>
      <c r="H95" s="31" t="s">
        <v>316</v>
      </c>
      <c r="I95" s="31" t="s">
        <v>317</v>
      </c>
      <c r="J95" s="31" t="s">
        <v>316</v>
      </c>
      <c r="K95" s="31" t="s">
        <v>316</v>
      </c>
      <c r="L95" s="32" t="str">
        <f t="shared" si="5"/>
        <v>EXCLUDE</v>
      </c>
      <c r="M95" s="32" t="str">
        <f t="shared" si="6"/>
        <v>Wrong domain (non-AECO)</v>
      </c>
      <c r="N95" s="33"/>
      <c r="O95" s="33"/>
      <c r="P95" s="34"/>
      <c r="Q95" s="34"/>
      <c r="R95" s="34"/>
      <c r="S95" s="32" t="str">
        <f t="shared" si="7"/>
        <v/>
      </c>
      <c r="T95" s="32" t="str">
        <f t="shared" si="8"/>
        <v/>
      </c>
      <c r="U95" s="35"/>
      <c r="V95" s="35"/>
      <c r="W95" s="35"/>
      <c r="X95" s="35"/>
      <c r="Y95" s="32" t="str">
        <f t="shared" si="9"/>
        <v/>
      </c>
      <c r="Z95" s="35"/>
      <c r="AA95" s="35"/>
      <c r="AB95" s="35"/>
      <c r="AC95" s="35"/>
      <c r="AD95" s="35"/>
      <c r="AE95" s="35"/>
      <c r="AF95" s="35"/>
      <c r="AG95" s="15" t="s">
        <v>411</v>
      </c>
    </row>
    <row r="96" spans="1:33" ht="22.8" x14ac:dyDescent="0.3">
      <c r="A96" s="30">
        <v>3580</v>
      </c>
      <c r="B96" s="9"/>
      <c r="C96" s="36"/>
      <c r="D96" s="9"/>
      <c r="E96" s="9" t="s">
        <v>830</v>
      </c>
      <c r="F96" s="30" t="s">
        <v>314</v>
      </c>
      <c r="G96" s="31" t="s">
        <v>316</v>
      </c>
      <c r="H96" s="31" t="s">
        <v>317</v>
      </c>
      <c r="I96" s="31" t="s">
        <v>317</v>
      </c>
      <c r="J96" s="31" t="s">
        <v>316</v>
      </c>
      <c r="K96" s="31" t="s">
        <v>316</v>
      </c>
      <c r="L96" s="32" t="str">
        <f t="shared" si="5"/>
        <v>EXCLUDE</v>
      </c>
      <c r="M96" s="32" t="str">
        <f t="shared" si="6"/>
        <v>Digital Twin not core / buzzword</v>
      </c>
      <c r="N96" s="33"/>
      <c r="O96" s="33"/>
      <c r="P96" s="34"/>
      <c r="Q96" s="34"/>
      <c r="R96" s="34"/>
      <c r="S96" s="32" t="str">
        <f t="shared" si="7"/>
        <v/>
      </c>
      <c r="T96" s="32" t="str">
        <f t="shared" si="8"/>
        <v/>
      </c>
      <c r="U96" s="35"/>
      <c r="V96" s="35"/>
      <c r="W96" s="35"/>
      <c r="X96" s="35"/>
      <c r="Y96" s="32" t="str">
        <f t="shared" si="9"/>
        <v/>
      </c>
      <c r="Z96" s="35"/>
      <c r="AA96" s="35"/>
      <c r="AB96" s="35"/>
      <c r="AC96" s="35"/>
      <c r="AD96" s="35"/>
      <c r="AE96" s="35"/>
      <c r="AF96" s="35"/>
      <c r="AG96" s="15" t="s">
        <v>412</v>
      </c>
    </row>
    <row r="97" spans="1:33" x14ac:dyDescent="0.3">
      <c r="A97" s="30">
        <v>3611</v>
      </c>
      <c r="B97" s="9"/>
      <c r="C97" s="36"/>
      <c r="D97" s="9"/>
      <c r="E97" s="9" t="s">
        <v>831</v>
      </c>
      <c r="F97" s="30" t="s">
        <v>314</v>
      </c>
      <c r="G97" s="31" t="s">
        <v>317</v>
      </c>
      <c r="H97" s="31" t="s">
        <v>316</v>
      </c>
      <c r="I97" s="31" t="s">
        <v>316</v>
      </c>
      <c r="J97" s="31" t="s">
        <v>316</v>
      </c>
      <c r="K97" s="31" t="s">
        <v>317</v>
      </c>
      <c r="L97" s="32" t="str">
        <f t="shared" si="5"/>
        <v>EXCLUDE</v>
      </c>
      <c r="M97" s="32" t="str">
        <f t="shared" si="6"/>
        <v>Wrong domain (non-AECO)</v>
      </c>
      <c r="N97" s="33"/>
      <c r="O97" s="33"/>
      <c r="P97" s="34"/>
      <c r="Q97" s="34"/>
      <c r="R97" s="34"/>
      <c r="S97" s="32" t="str">
        <f t="shared" si="7"/>
        <v/>
      </c>
      <c r="T97" s="32" t="str">
        <f t="shared" si="8"/>
        <v/>
      </c>
      <c r="U97" s="35"/>
      <c r="V97" s="35"/>
      <c r="W97" s="35"/>
      <c r="X97" s="35"/>
      <c r="Y97" s="32" t="str">
        <f t="shared" si="9"/>
        <v/>
      </c>
      <c r="Z97" s="35"/>
      <c r="AA97" s="35"/>
      <c r="AB97" s="35"/>
      <c r="AC97" s="35"/>
      <c r="AD97" s="35"/>
      <c r="AE97" s="35"/>
      <c r="AF97" s="35"/>
      <c r="AG97" s="15" t="s">
        <v>413</v>
      </c>
    </row>
    <row r="98" spans="1:33" ht="22.8" x14ac:dyDescent="0.3">
      <c r="A98" s="30">
        <v>4005</v>
      </c>
      <c r="B98" s="9" t="s">
        <v>199</v>
      </c>
      <c r="C98" s="36">
        <v>2023</v>
      </c>
      <c r="D98" s="9"/>
      <c r="E98" s="9" t="s">
        <v>832</v>
      </c>
      <c r="F98" s="30" t="s">
        <v>315</v>
      </c>
      <c r="G98" s="31" t="s">
        <v>316</v>
      </c>
      <c r="H98" s="31" t="s">
        <v>316</v>
      </c>
      <c r="I98" s="31" t="s">
        <v>316</v>
      </c>
      <c r="J98" s="31" t="s">
        <v>316</v>
      </c>
      <c r="K98" s="31" t="s">
        <v>316</v>
      </c>
      <c r="L98" s="32" t="str">
        <f t="shared" si="5"/>
        <v>INCLUDE</v>
      </c>
      <c r="M98" s="32" t="str">
        <f t="shared" si="6"/>
        <v/>
      </c>
      <c r="N98" s="33" t="s">
        <v>58</v>
      </c>
      <c r="O98" s="33" t="s">
        <v>58</v>
      </c>
      <c r="P98" s="34"/>
      <c r="Q98" s="34"/>
      <c r="R98" s="34"/>
      <c r="S98" s="32" t="str">
        <f t="shared" si="7"/>
        <v/>
      </c>
      <c r="T98" s="32" t="str">
        <f t="shared" si="8"/>
        <v/>
      </c>
      <c r="U98" s="35"/>
      <c r="V98" s="35"/>
      <c r="W98" s="35"/>
      <c r="X98" s="35"/>
      <c r="Y98" s="32" t="str">
        <f t="shared" si="9"/>
        <v/>
      </c>
      <c r="Z98" s="35"/>
      <c r="AA98" s="35"/>
      <c r="AB98" s="35"/>
      <c r="AC98" s="35"/>
      <c r="AD98" s="35"/>
      <c r="AE98" s="35"/>
      <c r="AF98" s="35"/>
      <c r="AG98" s="15" t="s">
        <v>414</v>
      </c>
    </row>
    <row r="99" spans="1:33" ht="22.8" x14ac:dyDescent="0.3">
      <c r="A99" s="30">
        <v>3652</v>
      </c>
      <c r="B99" s="9"/>
      <c r="C99" s="36"/>
      <c r="D99" s="9"/>
      <c r="E99" s="9" t="s">
        <v>833</v>
      </c>
      <c r="F99" s="30" t="s">
        <v>314</v>
      </c>
      <c r="G99" s="31" t="s">
        <v>317</v>
      </c>
      <c r="H99" s="31" t="s">
        <v>316</v>
      </c>
      <c r="I99" s="31" t="s">
        <v>317</v>
      </c>
      <c r="J99" s="31" t="s">
        <v>316</v>
      </c>
      <c r="K99" s="31" t="s">
        <v>316</v>
      </c>
      <c r="L99" s="32" t="str">
        <f t="shared" si="5"/>
        <v>EXCLUDE</v>
      </c>
      <c r="M99" s="32" t="str">
        <f t="shared" si="6"/>
        <v>Wrong domain (non-AECO)</v>
      </c>
      <c r="N99" s="33"/>
      <c r="O99" s="33"/>
      <c r="P99" s="34"/>
      <c r="Q99" s="34"/>
      <c r="R99" s="34"/>
      <c r="S99" s="32" t="str">
        <f t="shared" si="7"/>
        <v/>
      </c>
      <c r="T99" s="32" t="str">
        <f t="shared" si="8"/>
        <v/>
      </c>
      <c r="U99" s="35"/>
      <c r="V99" s="35"/>
      <c r="W99" s="35"/>
      <c r="X99" s="35"/>
      <c r="Y99" s="32" t="str">
        <f t="shared" si="9"/>
        <v/>
      </c>
      <c r="Z99" s="35"/>
      <c r="AA99" s="35"/>
      <c r="AB99" s="35"/>
      <c r="AC99" s="35"/>
      <c r="AD99" s="35"/>
      <c r="AE99" s="35"/>
      <c r="AF99" s="35"/>
      <c r="AG99" s="15" t="s">
        <v>415</v>
      </c>
    </row>
    <row r="100" spans="1:33" x14ac:dyDescent="0.3">
      <c r="A100" s="30">
        <v>3942</v>
      </c>
      <c r="B100" s="9"/>
      <c r="C100" s="36"/>
      <c r="D100" s="9"/>
      <c r="E100" s="9" t="s">
        <v>834</v>
      </c>
      <c r="F100" s="30" t="s">
        <v>315</v>
      </c>
      <c r="G100" s="31" t="s">
        <v>316</v>
      </c>
      <c r="H100" s="31" t="s">
        <v>317</v>
      </c>
      <c r="I100" s="31" t="s">
        <v>316</v>
      </c>
      <c r="J100" s="31" t="s">
        <v>316</v>
      </c>
      <c r="K100" s="31" t="s">
        <v>316</v>
      </c>
      <c r="L100" s="32" t="str">
        <f t="shared" si="5"/>
        <v>EXCLUDE</v>
      </c>
      <c r="M100" s="32" t="str">
        <f t="shared" si="6"/>
        <v>Digital Twin not core / buzzword</v>
      </c>
      <c r="N100" s="33"/>
      <c r="O100" s="33"/>
      <c r="P100" s="34"/>
      <c r="Q100" s="34"/>
      <c r="R100" s="34"/>
      <c r="S100" s="32" t="str">
        <f t="shared" si="7"/>
        <v/>
      </c>
      <c r="T100" s="32" t="str">
        <f t="shared" si="8"/>
        <v/>
      </c>
      <c r="U100" s="35"/>
      <c r="V100" s="35"/>
      <c r="W100" s="35"/>
      <c r="X100" s="35"/>
      <c r="Y100" s="32" t="str">
        <f t="shared" si="9"/>
        <v/>
      </c>
      <c r="Z100" s="35"/>
      <c r="AA100" s="35"/>
      <c r="AB100" s="35"/>
      <c r="AC100" s="35"/>
      <c r="AD100" s="35"/>
      <c r="AE100" s="35"/>
      <c r="AF100" s="35"/>
      <c r="AG100" s="15" t="s">
        <v>416</v>
      </c>
    </row>
    <row r="101" spans="1:33" ht="114" x14ac:dyDescent="0.3">
      <c r="A101" s="30">
        <v>4026</v>
      </c>
      <c r="B101" s="9" t="s">
        <v>200</v>
      </c>
      <c r="C101" s="36">
        <v>2023</v>
      </c>
      <c r="D101" s="9"/>
      <c r="E101" s="9" t="s">
        <v>835</v>
      </c>
      <c r="F101" s="30" t="s">
        <v>315</v>
      </c>
      <c r="G101" s="31" t="s">
        <v>316</v>
      </c>
      <c r="H101" s="31" t="s">
        <v>316</v>
      </c>
      <c r="I101" s="31" t="s">
        <v>316</v>
      </c>
      <c r="J101" s="31" t="s">
        <v>316</v>
      </c>
      <c r="K101" s="31" t="s">
        <v>316</v>
      </c>
      <c r="L101" s="32" t="str">
        <f t="shared" si="5"/>
        <v>INCLUDE</v>
      </c>
      <c r="M101" s="32" t="str">
        <f t="shared" si="6"/>
        <v/>
      </c>
      <c r="N101" s="33" t="s">
        <v>49</v>
      </c>
      <c r="O101" s="33" t="s">
        <v>49</v>
      </c>
      <c r="P101" s="34" t="s">
        <v>49</v>
      </c>
      <c r="Q101" s="34" t="s">
        <v>49</v>
      </c>
      <c r="R101" s="34" t="s">
        <v>49</v>
      </c>
      <c r="S101" s="32" t="str">
        <f t="shared" si="7"/>
        <v>INCLUDE</v>
      </c>
      <c r="T101" s="32" t="str">
        <f t="shared" si="8"/>
        <v/>
      </c>
      <c r="U101" s="35" t="s">
        <v>52</v>
      </c>
      <c r="V101" s="35">
        <v>0</v>
      </c>
      <c r="W101" s="35">
        <v>0</v>
      </c>
      <c r="X101" s="35">
        <v>1</v>
      </c>
      <c r="Y101" s="32" t="str">
        <f t="shared" si="9"/>
        <v>Single</v>
      </c>
      <c r="Z101" s="35" t="s">
        <v>9</v>
      </c>
      <c r="AA101" s="35" t="s">
        <v>62</v>
      </c>
      <c r="AB101" s="35" t="s">
        <v>88</v>
      </c>
      <c r="AC101" s="35" t="s">
        <v>64</v>
      </c>
      <c r="AD101" s="35" t="s">
        <v>65</v>
      </c>
      <c r="AE101" s="35">
        <v>4</v>
      </c>
      <c r="AF101" s="35" t="s">
        <v>84</v>
      </c>
      <c r="AG101" s="15" t="s">
        <v>417</v>
      </c>
    </row>
    <row r="102" spans="1:33" ht="22.8" x14ac:dyDescent="0.3">
      <c r="A102" s="30">
        <v>4031</v>
      </c>
      <c r="B102" s="9"/>
      <c r="C102" s="36"/>
      <c r="D102" s="9"/>
      <c r="E102" s="9" t="s">
        <v>836</v>
      </c>
      <c r="F102" s="30" t="s">
        <v>315</v>
      </c>
      <c r="G102" s="31" t="s">
        <v>316</v>
      </c>
      <c r="H102" s="31" t="s">
        <v>317</v>
      </c>
      <c r="I102" s="31" t="s">
        <v>316</v>
      </c>
      <c r="J102" s="31" t="s">
        <v>316</v>
      </c>
      <c r="K102" s="31" t="s">
        <v>316</v>
      </c>
      <c r="L102" s="32" t="str">
        <f t="shared" si="5"/>
        <v>EXCLUDE</v>
      </c>
      <c r="M102" s="32" t="str">
        <f t="shared" si="6"/>
        <v>Digital Twin not core / buzzword</v>
      </c>
      <c r="N102" s="33"/>
      <c r="O102" s="33"/>
      <c r="P102" s="34"/>
      <c r="Q102" s="34"/>
      <c r="R102" s="34"/>
      <c r="S102" s="32" t="str">
        <f t="shared" si="7"/>
        <v/>
      </c>
      <c r="T102" s="32" t="str">
        <f t="shared" si="8"/>
        <v/>
      </c>
      <c r="U102" s="35"/>
      <c r="V102" s="35"/>
      <c r="W102" s="35"/>
      <c r="X102" s="35"/>
      <c r="Y102" s="32" t="str">
        <f t="shared" si="9"/>
        <v/>
      </c>
      <c r="Z102" s="35"/>
      <c r="AA102" s="35"/>
      <c r="AB102" s="35"/>
      <c r="AC102" s="35"/>
      <c r="AD102" s="35"/>
      <c r="AE102" s="35"/>
      <c r="AF102" s="35"/>
      <c r="AG102" s="15" t="s">
        <v>418</v>
      </c>
    </row>
    <row r="103" spans="1:33" ht="22.8" x14ac:dyDescent="0.3">
      <c r="A103" s="30">
        <v>3577</v>
      </c>
      <c r="B103" s="9" t="s">
        <v>201</v>
      </c>
      <c r="C103" s="36">
        <v>2023</v>
      </c>
      <c r="D103" s="9"/>
      <c r="E103" s="9" t="s">
        <v>837</v>
      </c>
      <c r="F103" s="30" t="s">
        <v>314</v>
      </c>
      <c r="G103" s="31" t="s">
        <v>316</v>
      </c>
      <c r="H103" s="31" t="s">
        <v>316</v>
      </c>
      <c r="I103" s="31" t="s">
        <v>316</v>
      </c>
      <c r="J103" s="31" t="s">
        <v>316</v>
      </c>
      <c r="K103" s="31" t="s">
        <v>316</v>
      </c>
      <c r="L103" s="32" t="str">
        <f t="shared" si="5"/>
        <v>INCLUDE</v>
      </c>
      <c r="M103" s="32" t="str">
        <f t="shared" si="6"/>
        <v/>
      </c>
      <c r="N103" s="33" t="s">
        <v>58</v>
      </c>
      <c r="O103" s="33" t="s">
        <v>58</v>
      </c>
      <c r="P103" s="34"/>
      <c r="Q103" s="34"/>
      <c r="R103" s="34"/>
      <c r="S103" s="32" t="str">
        <f t="shared" si="7"/>
        <v/>
      </c>
      <c r="T103" s="32" t="str">
        <f t="shared" si="8"/>
        <v/>
      </c>
      <c r="U103" s="35"/>
      <c r="V103" s="35"/>
      <c r="W103" s="35"/>
      <c r="X103" s="35"/>
      <c r="Y103" s="32" t="str">
        <f t="shared" si="9"/>
        <v/>
      </c>
      <c r="Z103" s="35"/>
      <c r="AA103" s="35"/>
      <c r="AB103" s="35"/>
      <c r="AC103" s="35"/>
      <c r="AD103" s="35"/>
      <c r="AE103" s="35"/>
      <c r="AF103" s="35"/>
      <c r="AG103" s="15" t="s">
        <v>419</v>
      </c>
    </row>
    <row r="104" spans="1:33" ht="22.8" x14ac:dyDescent="0.3">
      <c r="A104" s="30">
        <v>3908</v>
      </c>
      <c r="B104" s="9"/>
      <c r="C104" s="36"/>
      <c r="D104" s="9"/>
      <c r="E104" s="9" t="s">
        <v>838</v>
      </c>
      <c r="F104" s="30" t="s">
        <v>315</v>
      </c>
      <c r="G104" s="31" t="s">
        <v>316</v>
      </c>
      <c r="H104" s="31" t="s">
        <v>316</v>
      </c>
      <c r="I104" s="31" t="s">
        <v>317</v>
      </c>
      <c r="J104" s="31" t="s">
        <v>316</v>
      </c>
      <c r="K104" s="31" t="s">
        <v>316</v>
      </c>
      <c r="L104" s="32" t="str">
        <f t="shared" si="5"/>
        <v>EXCLUDE</v>
      </c>
      <c r="M104" s="32" t="str">
        <f t="shared" si="6"/>
        <v>No Design for Safety/Quality/PtD</v>
      </c>
      <c r="N104" s="33"/>
      <c r="O104" s="33"/>
      <c r="P104" s="34"/>
      <c r="Q104" s="34"/>
      <c r="R104" s="34"/>
      <c r="S104" s="32" t="str">
        <f t="shared" si="7"/>
        <v/>
      </c>
      <c r="T104" s="32" t="str">
        <f t="shared" si="8"/>
        <v/>
      </c>
      <c r="U104" s="35"/>
      <c r="V104" s="35"/>
      <c r="W104" s="35"/>
      <c r="X104" s="35"/>
      <c r="Y104" s="32" t="str">
        <f t="shared" si="9"/>
        <v/>
      </c>
      <c r="Z104" s="35"/>
      <c r="AA104" s="35"/>
      <c r="AB104" s="35"/>
      <c r="AC104" s="35"/>
      <c r="AD104" s="35"/>
      <c r="AE104" s="35"/>
      <c r="AF104" s="35"/>
      <c r="AG104" s="15" t="s">
        <v>420</v>
      </c>
    </row>
    <row r="105" spans="1:33" ht="22.8" x14ac:dyDescent="0.3">
      <c r="A105" s="30">
        <v>3977</v>
      </c>
      <c r="B105" s="9" t="s">
        <v>202</v>
      </c>
      <c r="C105" s="36">
        <v>2026</v>
      </c>
      <c r="D105" s="9"/>
      <c r="E105" s="9" t="s">
        <v>839</v>
      </c>
      <c r="F105" s="30" t="s">
        <v>315</v>
      </c>
      <c r="G105" s="31" t="s">
        <v>316</v>
      </c>
      <c r="H105" s="31" t="s">
        <v>316</v>
      </c>
      <c r="I105" s="31" t="s">
        <v>316</v>
      </c>
      <c r="J105" s="31" t="s">
        <v>316</v>
      </c>
      <c r="K105" s="31" t="s">
        <v>316</v>
      </c>
      <c r="L105" s="32" t="str">
        <f t="shared" si="5"/>
        <v>INCLUDE</v>
      </c>
      <c r="M105" s="32" t="str">
        <f t="shared" si="6"/>
        <v/>
      </c>
      <c r="N105" s="33" t="s">
        <v>58</v>
      </c>
      <c r="O105" s="33" t="s">
        <v>58</v>
      </c>
      <c r="P105" s="34"/>
      <c r="Q105" s="34"/>
      <c r="R105" s="34"/>
      <c r="S105" s="32" t="str">
        <f t="shared" si="7"/>
        <v/>
      </c>
      <c r="T105" s="32" t="str">
        <f t="shared" si="8"/>
        <v/>
      </c>
      <c r="U105" s="35"/>
      <c r="V105" s="35"/>
      <c r="W105" s="35"/>
      <c r="X105" s="35"/>
      <c r="Y105" s="32" t="str">
        <f t="shared" si="9"/>
        <v/>
      </c>
      <c r="Z105" s="35"/>
      <c r="AA105" s="35"/>
      <c r="AB105" s="35"/>
      <c r="AC105" s="35"/>
      <c r="AD105" s="35"/>
      <c r="AE105" s="35"/>
      <c r="AF105" s="35"/>
      <c r="AG105" s="15" t="s">
        <v>421</v>
      </c>
    </row>
    <row r="106" spans="1:33" ht="22.8" x14ac:dyDescent="0.3">
      <c r="A106" s="30">
        <v>3609</v>
      </c>
      <c r="B106" s="9"/>
      <c r="C106" s="36"/>
      <c r="D106" s="9"/>
      <c r="E106" s="9" t="s">
        <v>840</v>
      </c>
      <c r="F106" s="30" t="s">
        <v>314</v>
      </c>
      <c r="G106" s="31" t="s">
        <v>317</v>
      </c>
      <c r="H106" s="31" t="s">
        <v>316</v>
      </c>
      <c r="I106" s="31" t="s">
        <v>316</v>
      </c>
      <c r="J106" s="31" t="s">
        <v>316</v>
      </c>
      <c r="K106" s="31" t="s">
        <v>316</v>
      </c>
      <c r="L106" s="32" t="str">
        <f t="shared" si="5"/>
        <v>EXCLUDE</v>
      </c>
      <c r="M106" s="32" t="str">
        <f t="shared" si="6"/>
        <v>Wrong domain (non-AECO)</v>
      </c>
      <c r="N106" s="33"/>
      <c r="O106" s="33"/>
      <c r="P106" s="34"/>
      <c r="Q106" s="34"/>
      <c r="R106" s="34"/>
      <c r="S106" s="32" t="str">
        <f t="shared" si="7"/>
        <v/>
      </c>
      <c r="T106" s="32" t="str">
        <f t="shared" si="8"/>
        <v/>
      </c>
      <c r="U106" s="35"/>
      <c r="V106" s="35"/>
      <c r="W106" s="35"/>
      <c r="X106" s="35"/>
      <c r="Y106" s="32" t="str">
        <f t="shared" si="9"/>
        <v/>
      </c>
      <c r="Z106" s="35"/>
      <c r="AA106" s="35"/>
      <c r="AB106" s="35"/>
      <c r="AC106" s="35"/>
      <c r="AD106" s="35"/>
      <c r="AE106" s="35"/>
      <c r="AF106" s="35"/>
      <c r="AG106" s="15" t="s">
        <v>422</v>
      </c>
    </row>
    <row r="107" spans="1:33" ht="22.8" x14ac:dyDescent="0.3">
      <c r="A107" s="30">
        <v>3924</v>
      </c>
      <c r="B107" s="9" t="s">
        <v>203</v>
      </c>
      <c r="C107" s="36">
        <v>2025</v>
      </c>
      <c r="D107" s="9"/>
      <c r="E107" s="9" t="s">
        <v>841</v>
      </c>
      <c r="F107" s="30" t="s">
        <v>315</v>
      </c>
      <c r="G107" s="31" t="s">
        <v>316</v>
      </c>
      <c r="H107" s="31" t="s">
        <v>316</v>
      </c>
      <c r="I107" s="31" t="s">
        <v>316</v>
      </c>
      <c r="J107" s="31" t="s">
        <v>316</v>
      </c>
      <c r="K107" s="31" t="s">
        <v>316</v>
      </c>
      <c r="L107" s="32" t="str">
        <f t="shared" si="5"/>
        <v>INCLUDE</v>
      </c>
      <c r="M107" s="32" t="str">
        <f t="shared" si="6"/>
        <v/>
      </c>
      <c r="N107" s="33" t="s">
        <v>58</v>
      </c>
      <c r="O107" s="33" t="s">
        <v>58</v>
      </c>
      <c r="P107" s="34"/>
      <c r="Q107" s="34"/>
      <c r="R107" s="34"/>
      <c r="S107" s="32" t="str">
        <f t="shared" si="7"/>
        <v/>
      </c>
      <c r="T107" s="32" t="str">
        <f t="shared" si="8"/>
        <v/>
      </c>
      <c r="U107" s="35"/>
      <c r="V107" s="35"/>
      <c r="W107" s="35"/>
      <c r="X107" s="35"/>
      <c r="Y107" s="32" t="str">
        <f t="shared" si="9"/>
        <v/>
      </c>
      <c r="Z107" s="35"/>
      <c r="AA107" s="35"/>
      <c r="AB107" s="35"/>
      <c r="AC107" s="35"/>
      <c r="AD107" s="35"/>
      <c r="AE107" s="35"/>
      <c r="AF107" s="35"/>
      <c r="AG107" s="15" t="s">
        <v>423</v>
      </c>
    </row>
    <row r="108" spans="1:33" ht="22.8" x14ac:dyDescent="0.3">
      <c r="A108" s="30">
        <v>3980</v>
      </c>
      <c r="B108" s="9"/>
      <c r="C108" s="36"/>
      <c r="D108" s="9"/>
      <c r="E108" s="9" t="s">
        <v>842</v>
      </c>
      <c r="F108" s="30" t="s">
        <v>315</v>
      </c>
      <c r="G108" s="31" t="s">
        <v>317</v>
      </c>
      <c r="H108" s="31" t="s">
        <v>316</v>
      </c>
      <c r="I108" s="31" t="s">
        <v>317</v>
      </c>
      <c r="J108" s="31" t="s">
        <v>316</v>
      </c>
      <c r="K108" s="31" t="s">
        <v>316</v>
      </c>
      <c r="L108" s="32" t="str">
        <f t="shared" si="5"/>
        <v>EXCLUDE</v>
      </c>
      <c r="M108" s="32" t="str">
        <f t="shared" si="6"/>
        <v>Wrong domain (non-AECO)</v>
      </c>
      <c r="N108" s="33"/>
      <c r="O108" s="33"/>
      <c r="P108" s="34"/>
      <c r="Q108" s="34"/>
      <c r="R108" s="34"/>
      <c r="S108" s="32" t="str">
        <f t="shared" si="7"/>
        <v/>
      </c>
      <c r="T108" s="32" t="str">
        <f t="shared" si="8"/>
        <v/>
      </c>
      <c r="U108" s="35"/>
      <c r="V108" s="35"/>
      <c r="W108" s="35"/>
      <c r="X108" s="35"/>
      <c r="Y108" s="32" t="str">
        <f t="shared" si="9"/>
        <v/>
      </c>
      <c r="Z108" s="35"/>
      <c r="AA108" s="35"/>
      <c r="AB108" s="35"/>
      <c r="AC108" s="35"/>
      <c r="AD108" s="35"/>
      <c r="AE108" s="35"/>
      <c r="AF108" s="35"/>
      <c r="AG108" s="15" t="s">
        <v>424</v>
      </c>
    </row>
    <row r="109" spans="1:33" ht="22.8" x14ac:dyDescent="0.3">
      <c r="A109" s="30">
        <v>4045</v>
      </c>
      <c r="B109" s="9"/>
      <c r="C109" s="36"/>
      <c r="D109" s="9"/>
      <c r="E109" s="9" t="s">
        <v>843</v>
      </c>
      <c r="F109" s="30" t="s">
        <v>315</v>
      </c>
      <c r="G109" s="31" t="s">
        <v>316</v>
      </c>
      <c r="H109" s="31" t="s">
        <v>317</v>
      </c>
      <c r="I109" s="31" t="s">
        <v>317</v>
      </c>
      <c r="J109" s="31" t="s">
        <v>316</v>
      </c>
      <c r="K109" s="31" t="s">
        <v>316</v>
      </c>
      <c r="L109" s="32" t="str">
        <f t="shared" si="5"/>
        <v>EXCLUDE</v>
      </c>
      <c r="M109" s="32" t="str">
        <f t="shared" si="6"/>
        <v>Digital Twin not core / buzzword</v>
      </c>
      <c r="N109" s="33"/>
      <c r="O109" s="33"/>
      <c r="P109" s="34"/>
      <c r="Q109" s="34"/>
      <c r="R109" s="34"/>
      <c r="S109" s="32" t="str">
        <f t="shared" si="7"/>
        <v/>
      </c>
      <c r="T109" s="32" t="str">
        <f t="shared" si="8"/>
        <v/>
      </c>
      <c r="U109" s="35"/>
      <c r="V109" s="35"/>
      <c r="W109" s="35"/>
      <c r="X109" s="35"/>
      <c r="Y109" s="32" t="str">
        <f t="shared" si="9"/>
        <v/>
      </c>
      <c r="Z109" s="35"/>
      <c r="AA109" s="35"/>
      <c r="AB109" s="35"/>
      <c r="AC109" s="35"/>
      <c r="AD109" s="35"/>
      <c r="AE109" s="35"/>
      <c r="AF109" s="35"/>
      <c r="AG109" s="15" t="s">
        <v>425</v>
      </c>
    </row>
    <row r="110" spans="1:33" ht="79.8" x14ac:dyDescent="0.3">
      <c r="A110" s="30">
        <v>3770</v>
      </c>
      <c r="B110" s="9" t="s">
        <v>204</v>
      </c>
      <c r="C110" s="36">
        <v>2020</v>
      </c>
      <c r="D110" s="9"/>
      <c r="E110" s="9" t="s">
        <v>844</v>
      </c>
      <c r="F110" s="30" t="s">
        <v>314</v>
      </c>
      <c r="G110" s="31" t="s">
        <v>316</v>
      </c>
      <c r="H110" s="31" t="s">
        <v>316</v>
      </c>
      <c r="I110" s="31" t="s">
        <v>316</v>
      </c>
      <c r="J110" s="31" t="s">
        <v>316</v>
      </c>
      <c r="K110" s="31" t="s">
        <v>316</v>
      </c>
      <c r="L110" s="32" t="str">
        <f t="shared" si="5"/>
        <v>INCLUDE</v>
      </c>
      <c r="M110" s="32" t="str">
        <f t="shared" si="6"/>
        <v/>
      </c>
      <c r="N110" s="33" t="s">
        <v>49</v>
      </c>
      <c r="O110" s="33" t="s">
        <v>49</v>
      </c>
      <c r="P110" s="34" t="s">
        <v>49</v>
      </c>
      <c r="Q110" s="34" t="s">
        <v>49</v>
      </c>
      <c r="R110" s="34" t="s">
        <v>49</v>
      </c>
      <c r="S110" s="32" t="str">
        <f t="shared" si="7"/>
        <v>INCLUDE</v>
      </c>
      <c r="T110" s="32" t="str">
        <f t="shared" si="8"/>
        <v/>
      </c>
      <c r="U110" s="35" t="s">
        <v>61</v>
      </c>
      <c r="V110" s="35">
        <v>0</v>
      </c>
      <c r="W110" s="35">
        <v>0</v>
      </c>
      <c r="X110" s="35">
        <v>1</v>
      </c>
      <c r="Y110" s="32" t="str">
        <f t="shared" si="9"/>
        <v>Single</v>
      </c>
      <c r="Z110" s="35" t="s">
        <v>9</v>
      </c>
      <c r="AA110" s="35" t="s">
        <v>53</v>
      </c>
      <c r="AB110" s="35" t="s">
        <v>73</v>
      </c>
      <c r="AC110" s="35" t="s">
        <v>55</v>
      </c>
      <c r="AD110" s="35" t="s">
        <v>72</v>
      </c>
      <c r="AE110" s="35">
        <v>3</v>
      </c>
      <c r="AF110" s="35" t="s">
        <v>73</v>
      </c>
      <c r="AG110" s="15" t="s">
        <v>426</v>
      </c>
    </row>
    <row r="111" spans="1:33" ht="79.8" x14ac:dyDescent="0.3">
      <c r="A111" s="30">
        <v>3926</v>
      </c>
      <c r="B111" s="9" t="s">
        <v>205</v>
      </c>
      <c r="C111" s="36">
        <v>2026</v>
      </c>
      <c r="D111" s="9"/>
      <c r="E111" s="9" t="s">
        <v>845</v>
      </c>
      <c r="F111" s="30" t="s">
        <v>315</v>
      </c>
      <c r="G111" s="31" t="s">
        <v>316</v>
      </c>
      <c r="H111" s="31" t="s">
        <v>316</v>
      </c>
      <c r="I111" s="31" t="s">
        <v>316</v>
      </c>
      <c r="J111" s="31" t="s">
        <v>316</v>
      </c>
      <c r="K111" s="31" t="s">
        <v>316</v>
      </c>
      <c r="L111" s="32" t="str">
        <f t="shared" si="5"/>
        <v>INCLUDE</v>
      </c>
      <c r="M111" s="32" t="str">
        <f t="shared" si="6"/>
        <v/>
      </c>
      <c r="N111" s="33" t="s">
        <v>49</v>
      </c>
      <c r="O111" s="33" t="s">
        <v>49</v>
      </c>
      <c r="P111" s="34" t="s">
        <v>49</v>
      </c>
      <c r="Q111" s="34" t="s">
        <v>49</v>
      </c>
      <c r="R111" s="34" t="s">
        <v>49</v>
      </c>
      <c r="S111" s="32" t="str">
        <f t="shared" si="7"/>
        <v>INCLUDE</v>
      </c>
      <c r="T111" s="32" t="str">
        <f t="shared" si="8"/>
        <v/>
      </c>
      <c r="U111" s="35" t="s">
        <v>61</v>
      </c>
      <c r="V111" s="35">
        <v>1</v>
      </c>
      <c r="W111" s="35">
        <v>1</v>
      </c>
      <c r="X111" s="35">
        <v>1</v>
      </c>
      <c r="Y111" s="32" t="str">
        <f t="shared" si="9"/>
        <v>Multi</v>
      </c>
      <c r="Z111" s="35" t="s">
        <v>69</v>
      </c>
      <c r="AA111" s="35" t="s">
        <v>53</v>
      </c>
      <c r="AB111" s="35" t="s">
        <v>92</v>
      </c>
      <c r="AC111" s="35" t="s">
        <v>64</v>
      </c>
      <c r="AD111" s="35" t="s">
        <v>72</v>
      </c>
      <c r="AE111" s="35">
        <v>4</v>
      </c>
      <c r="AF111" s="35" t="s">
        <v>86</v>
      </c>
      <c r="AG111" s="15" t="s">
        <v>427</v>
      </c>
    </row>
    <row r="112" spans="1:33" ht="22.8" x14ac:dyDescent="0.3">
      <c r="A112" s="30">
        <v>3959</v>
      </c>
      <c r="B112" s="9" t="s">
        <v>206</v>
      </c>
      <c r="C112" s="36">
        <v>2025</v>
      </c>
      <c r="D112" s="9"/>
      <c r="E112" s="9" t="s">
        <v>846</v>
      </c>
      <c r="F112" s="30" t="s">
        <v>315</v>
      </c>
      <c r="G112" s="31" t="s">
        <v>316</v>
      </c>
      <c r="H112" s="31" t="s">
        <v>316</v>
      </c>
      <c r="I112" s="31" t="s">
        <v>316</v>
      </c>
      <c r="J112" s="31" t="s">
        <v>316</v>
      </c>
      <c r="K112" s="31" t="s">
        <v>316</v>
      </c>
      <c r="L112" s="32" t="str">
        <f t="shared" si="5"/>
        <v>INCLUDE</v>
      </c>
      <c r="M112" s="32" t="str">
        <f t="shared" si="6"/>
        <v/>
      </c>
      <c r="N112" s="33" t="s">
        <v>58</v>
      </c>
      <c r="O112" s="33" t="s">
        <v>58</v>
      </c>
      <c r="P112" s="34"/>
      <c r="Q112" s="34"/>
      <c r="R112" s="34"/>
      <c r="S112" s="32" t="str">
        <f t="shared" si="7"/>
        <v/>
      </c>
      <c r="T112" s="32" t="str">
        <f t="shared" si="8"/>
        <v/>
      </c>
      <c r="U112" s="35"/>
      <c r="V112" s="35"/>
      <c r="W112" s="35"/>
      <c r="X112" s="35"/>
      <c r="Y112" s="32" t="str">
        <f t="shared" si="9"/>
        <v/>
      </c>
      <c r="Z112" s="35"/>
      <c r="AA112" s="35"/>
      <c r="AB112" s="35"/>
      <c r="AC112" s="35"/>
      <c r="AD112" s="35"/>
      <c r="AE112" s="35"/>
      <c r="AF112" s="35"/>
      <c r="AG112" s="15" t="s">
        <v>428</v>
      </c>
    </row>
    <row r="113" spans="1:33" ht="22.8" x14ac:dyDescent="0.3">
      <c r="A113" s="30">
        <v>3765</v>
      </c>
      <c r="B113" s="9" t="s">
        <v>205</v>
      </c>
      <c r="C113" s="36">
        <v>2026</v>
      </c>
      <c r="D113" s="9"/>
      <c r="E113" s="9" t="s">
        <v>847</v>
      </c>
      <c r="F113" s="30" t="s">
        <v>314</v>
      </c>
      <c r="G113" s="31" t="s">
        <v>316</v>
      </c>
      <c r="H113" s="31" t="s">
        <v>316</v>
      </c>
      <c r="I113" s="31" t="s">
        <v>316</v>
      </c>
      <c r="J113" s="31" t="s">
        <v>316</v>
      </c>
      <c r="K113" s="31" t="s">
        <v>316</v>
      </c>
      <c r="L113" s="32" t="str">
        <f t="shared" si="5"/>
        <v>INCLUDE</v>
      </c>
      <c r="M113" s="32" t="str">
        <f t="shared" si="6"/>
        <v/>
      </c>
      <c r="N113" s="33" t="s">
        <v>58</v>
      </c>
      <c r="O113" s="33" t="s">
        <v>58</v>
      </c>
      <c r="P113" s="34"/>
      <c r="Q113" s="34"/>
      <c r="R113" s="34"/>
      <c r="S113" s="32" t="str">
        <f t="shared" si="7"/>
        <v/>
      </c>
      <c r="T113" s="32" t="str">
        <f t="shared" si="8"/>
        <v/>
      </c>
      <c r="U113" s="35"/>
      <c r="V113" s="35"/>
      <c r="W113" s="35"/>
      <c r="X113" s="35"/>
      <c r="Y113" s="32" t="str">
        <f t="shared" si="9"/>
        <v/>
      </c>
      <c r="Z113" s="35"/>
      <c r="AA113" s="35"/>
      <c r="AB113" s="35"/>
      <c r="AC113" s="35"/>
      <c r="AD113" s="35"/>
      <c r="AE113" s="35"/>
      <c r="AF113" s="35"/>
      <c r="AG113" s="15" t="s">
        <v>429</v>
      </c>
    </row>
    <row r="114" spans="1:33" ht="22.8" x14ac:dyDescent="0.3">
      <c r="A114" s="30">
        <v>3913</v>
      </c>
      <c r="B114" s="9"/>
      <c r="C114" s="36"/>
      <c r="D114" s="9"/>
      <c r="E114" s="9" t="s">
        <v>848</v>
      </c>
      <c r="F114" s="30" t="s">
        <v>315</v>
      </c>
      <c r="G114" s="31" t="s">
        <v>317</v>
      </c>
      <c r="H114" s="31" t="s">
        <v>316</v>
      </c>
      <c r="I114" s="31" t="s">
        <v>316</v>
      </c>
      <c r="J114" s="31" t="s">
        <v>316</v>
      </c>
      <c r="K114" s="31" t="s">
        <v>316</v>
      </c>
      <c r="L114" s="32" t="str">
        <f t="shared" si="5"/>
        <v>EXCLUDE</v>
      </c>
      <c r="M114" s="32" t="str">
        <f t="shared" si="6"/>
        <v>Wrong domain (non-AECO)</v>
      </c>
      <c r="N114" s="33"/>
      <c r="O114" s="33"/>
      <c r="P114" s="34"/>
      <c r="Q114" s="34"/>
      <c r="R114" s="34"/>
      <c r="S114" s="32" t="str">
        <f t="shared" si="7"/>
        <v/>
      </c>
      <c r="T114" s="32" t="str">
        <f t="shared" si="8"/>
        <v/>
      </c>
      <c r="U114" s="35"/>
      <c r="V114" s="35"/>
      <c r="W114" s="35"/>
      <c r="X114" s="35"/>
      <c r="Y114" s="32" t="str">
        <f t="shared" si="9"/>
        <v/>
      </c>
      <c r="Z114" s="35"/>
      <c r="AA114" s="35"/>
      <c r="AB114" s="35"/>
      <c r="AC114" s="35"/>
      <c r="AD114" s="35"/>
      <c r="AE114" s="35"/>
      <c r="AF114" s="35"/>
      <c r="AG114" s="15" t="s">
        <v>430</v>
      </c>
    </row>
    <row r="115" spans="1:33" ht="22.8" x14ac:dyDescent="0.3">
      <c r="A115" s="30">
        <v>3636</v>
      </c>
      <c r="B115" s="9"/>
      <c r="C115" s="36"/>
      <c r="D115" s="9"/>
      <c r="E115" s="9" t="s">
        <v>849</v>
      </c>
      <c r="F115" s="30" t="s">
        <v>314</v>
      </c>
      <c r="G115" s="31" t="s">
        <v>316</v>
      </c>
      <c r="H115" s="31" t="s">
        <v>316</v>
      </c>
      <c r="I115" s="31" t="s">
        <v>317</v>
      </c>
      <c r="J115" s="31" t="s">
        <v>316</v>
      </c>
      <c r="K115" s="31" t="s">
        <v>316</v>
      </c>
      <c r="L115" s="32" t="str">
        <f t="shared" si="5"/>
        <v>EXCLUDE</v>
      </c>
      <c r="M115" s="32" t="str">
        <f t="shared" si="6"/>
        <v>No Design for Safety/Quality/PtD</v>
      </c>
      <c r="N115" s="33"/>
      <c r="O115" s="33"/>
      <c r="P115" s="34"/>
      <c r="Q115" s="34"/>
      <c r="R115" s="34"/>
      <c r="S115" s="32" t="str">
        <f t="shared" si="7"/>
        <v/>
      </c>
      <c r="T115" s="32" t="str">
        <f t="shared" si="8"/>
        <v/>
      </c>
      <c r="U115" s="35"/>
      <c r="V115" s="35"/>
      <c r="W115" s="35"/>
      <c r="X115" s="35"/>
      <c r="Y115" s="32" t="str">
        <f t="shared" si="9"/>
        <v/>
      </c>
      <c r="Z115" s="35"/>
      <c r="AA115" s="35"/>
      <c r="AB115" s="35"/>
      <c r="AC115" s="35"/>
      <c r="AD115" s="35"/>
      <c r="AE115" s="35"/>
      <c r="AF115" s="35"/>
      <c r="AG115" s="15" t="s">
        <v>431</v>
      </c>
    </row>
    <row r="116" spans="1:33" ht="79.8" x14ac:dyDescent="0.3">
      <c r="A116" s="30">
        <v>3973</v>
      </c>
      <c r="B116" s="9" t="s">
        <v>207</v>
      </c>
      <c r="C116" s="36">
        <v>2022</v>
      </c>
      <c r="D116" s="9"/>
      <c r="E116" s="9" t="s">
        <v>850</v>
      </c>
      <c r="F116" s="30" t="s">
        <v>315</v>
      </c>
      <c r="G116" s="31" t="s">
        <v>316</v>
      </c>
      <c r="H116" s="31" t="s">
        <v>316</v>
      </c>
      <c r="I116" s="31" t="s">
        <v>316</v>
      </c>
      <c r="J116" s="31" t="s">
        <v>316</v>
      </c>
      <c r="K116" s="31" t="s">
        <v>316</v>
      </c>
      <c r="L116" s="32" t="str">
        <f t="shared" si="5"/>
        <v>INCLUDE</v>
      </c>
      <c r="M116" s="32" t="str">
        <f t="shared" si="6"/>
        <v/>
      </c>
      <c r="N116" s="33" t="s">
        <v>49</v>
      </c>
      <c r="O116" s="33" t="s">
        <v>49</v>
      </c>
      <c r="P116" s="34" t="s">
        <v>49</v>
      </c>
      <c r="Q116" s="34" t="s">
        <v>49</v>
      </c>
      <c r="R116" s="34" t="s">
        <v>49</v>
      </c>
      <c r="S116" s="32" t="str">
        <f t="shared" si="7"/>
        <v>INCLUDE</v>
      </c>
      <c r="T116" s="32" t="str">
        <f t="shared" si="8"/>
        <v/>
      </c>
      <c r="U116" s="35" t="s">
        <v>68</v>
      </c>
      <c r="V116" s="35">
        <v>0</v>
      </c>
      <c r="W116" s="35">
        <v>1</v>
      </c>
      <c r="X116" s="35">
        <v>0</v>
      </c>
      <c r="Y116" s="32" t="str">
        <f t="shared" si="9"/>
        <v>Single</v>
      </c>
      <c r="Z116" s="35" t="s">
        <v>9</v>
      </c>
      <c r="AA116" s="35" t="s">
        <v>53</v>
      </c>
      <c r="AB116" s="35" t="s">
        <v>91</v>
      </c>
      <c r="AC116" s="35" t="s">
        <v>55</v>
      </c>
      <c r="AD116" s="35" t="s">
        <v>65</v>
      </c>
      <c r="AE116" s="35">
        <v>3</v>
      </c>
      <c r="AF116" s="35" t="s">
        <v>57</v>
      </c>
      <c r="AG116" s="15" t="s">
        <v>432</v>
      </c>
    </row>
    <row r="117" spans="1:33" ht="22.8" x14ac:dyDescent="0.3">
      <c r="A117" s="30">
        <v>3735</v>
      </c>
      <c r="B117" s="9"/>
      <c r="C117" s="36"/>
      <c r="D117" s="9"/>
      <c r="E117" s="9" t="s">
        <v>851</v>
      </c>
      <c r="F117" s="30" t="s">
        <v>314</v>
      </c>
      <c r="G117" s="31" t="s">
        <v>317</v>
      </c>
      <c r="H117" s="31" t="s">
        <v>316</v>
      </c>
      <c r="I117" s="31" t="s">
        <v>317</v>
      </c>
      <c r="J117" s="31" t="s">
        <v>316</v>
      </c>
      <c r="K117" s="31" t="s">
        <v>316</v>
      </c>
      <c r="L117" s="32" t="str">
        <f t="shared" si="5"/>
        <v>EXCLUDE</v>
      </c>
      <c r="M117" s="32" t="str">
        <f t="shared" si="6"/>
        <v>Wrong domain (non-AECO)</v>
      </c>
      <c r="N117" s="33"/>
      <c r="O117" s="33"/>
      <c r="P117" s="34"/>
      <c r="Q117" s="34"/>
      <c r="R117" s="34"/>
      <c r="S117" s="32" t="str">
        <f t="shared" si="7"/>
        <v/>
      </c>
      <c r="T117" s="32" t="str">
        <f t="shared" si="8"/>
        <v/>
      </c>
      <c r="U117" s="35"/>
      <c r="V117" s="35"/>
      <c r="W117" s="35"/>
      <c r="X117" s="35"/>
      <c r="Y117" s="32" t="str">
        <f t="shared" si="9"/>
        <v/>
      </c>
      <c r="Z117" s="35"/>
      <c r="AA117" s="35"/>
      <c r="AB117" s="35"/>
      <c r="AC117" s="35"/>
      <c r="AD117" s="35"/>
      <c r="AE117" s="35"/>
      <c r="AF117" s="35"/>
      <c r="AG117" s="15" t="s">
        <v>433</v>
      </c>
    </row>
    <row r="118" spans="1:33" ht="22.8" x14ac:dyDescent="0.3">
      <c r="A118" s="30">
        <v>3537</v>
      </c>
      <c r="B118" s="9"/>
      <c r="C118" s="36"/>
      <c r="D118" s="9"/>
      <c r="E118" s="9" t="s">
        <v>852</v>
      </c>
      <c r="F118" s="30" t="s">
        <v>314</v>
      </c>
      <c r="G118" s="31" t="s">
        <v>317</v>
      </c>
      <c r="H118" s="31" t="s">
        <v>316</v>
      </c>
      <c r="I118" s="31" t="s">
        <v>316</v>
      </c>
      <c r="J118" s="31" t="s">
        <v>316</v>
      </c>
      <c r="K118" s="31" t="s">
        <v>316</v>
      </c>
      <c r="L118" s="32" t="str">
        <f t="shared" si="5"/>
        <v>EXCLUDE</v>
      </c>
      <c r="M118" s="32" t="str">
        <f t="shared" si="6"/>
        <v>Wrong domain (non-AECO)</v>
      </c>
      <c r="N118" s="33"/>
      <c r="O118" s="33"/>
      <c r="P118" s="34"/>
      <c r="Q118" s="34"/>
      <c r="R118" s="34"/>
      <c r="S118" s="32" t="str">
        <f t="shared" si="7"/>
        <v/>
      </c>
      <c r="T118" s="32" t="str">
        <f t="shared" si="8"/>
        <v/>
      </c>
      <c r="U118" s="35"/>
      <c r="V118" s="35"/>
      <c r="W118" s="35"/>
      <c r="X118" s="35"/>
      <c r="Y118" s="32" t="str">
        <f t="shared" si="9"/>
        <v/>
      </c>
      <c r="Z118" s="35"/>
      <c r="AA118" s="35"/>
      <c r="AB118" s="35"/>
      <c r="AC118" s="35"/>
      <c r="AD118" s="35"/>
      <c r="AE118" s="35"/>
      <c r="AF118" s="35"/>
      <c r="AG118" s="15" t="s">
        <v>434</v>
      </c>
    </row>
    <row r="119" spans="1:33" ht="22.8" x14ac:dyDescent="0.3">
      <c r="A119" s="30">
        <v>3813</v>
      </c>
      <c r="B119" s="9" t="s">
        <v>208</v>
      </c>
      <c r="C119" s="36">
        <v>2025</v>
      </c>
      <c r="D119" s="9"/>
      <c r="E119" s="9" t="s">
        <v>853</v>
      </c>
      <c r="F119" s="30" t="s">
        <v>314</v>
      </c>
      <c r="G119" s="31" t="s">
        <v>316</v>
      </c>
      <c r="H119" s="31" t="s">
        <v>316</v>
      </c>
      <c r="I119" s="31" t="s">
        <v>316</v>
      </c>
      <c r="J119" s="31" t="s">
        <v>316</v>
      </c>
      <c r="K119" s="31" t="s">
        <v>316</v>
      </c>
      <c r="L119" s="32" t="str">
        <f t="shared" si="5"/>
        <v>INCLUDE</v>
      </c>
      <c r="M119" s="32" t="str">
        <f t="shared" si="6"/>
        <v/>
      </c>
      <c r="N119" s="33" t="s">
        <v>58</v>
      </c>
      <c r="O119" s="33" t="s">
        <v>58</v>
      </c>
      <c r="P119" s="34"/>
      <c r="Q119" s="34"/>
      <c r="R119" s="34"/>
      <c r="S119" s="32" t="str">
        <f t="shared" si="7"/>
        <v/>
      </c>
      <c r="T119" s="32" t="str">
        <f t="shared" si="8"/>
        <v/>
      </c>
      <c r="U119" s="35"/>
      <c r="V119" s="35"/>
      <c r="W119" s="35"/>
      <c r="X119" s="35"/>
      <c r="Y119" s="32" t="str">
        <f t="shared" si="9"/>
        <v/>
      </c>
      <c r="Z119" s="35"/>
      <c r="AA119" s="35"/>
      <c r="AB119" s="35"/>
      <c r="AC119" s="35"/>
      <c r="AD119" s="35"/>
      <c r="AE119" s="35"/>
      <c r="AF119" s="35"/>
      <c r="AG119" s="15" t="s">
        <v>435</v>
      </c>
    </row>
    <row r="120" spans="1:33" ht="22.8" x14ac:dyDescent="0.3">
      <c r="A120" s="30">
        <v>4018</v>
      </c>
      <c r="B120" s="9"/>
      <c r="C120" s="36"/>
      <c r="D120" s="9"/>
      <c r="E120" s="9" t="s">
        <v>853</v>
      </c>
      <c r="F120" s="30" t="s">
        <v>315</v>
      </c>
      <c r="G120" s="31" t="s">
        <v>316</v>
      </c>
      <c r="H120" s="31" t="s">
        <v>316</v>
      </c>
      <c r="I120" s="31" t="s">
        <v>316</v>
      </c>
      <c r="J120" s="31" t="s">
        <v>316</v>
      </c>
      <c r="K120" s="31" t="s">
        <v>316</v>
      </c>
      <c r="L120" s="32" t="str">
        <f t="shared" si="5"/>
        <v>INCLUDE</v>
      </c>
      <c r="M120" s="32" t="str">
        <f t="shared" si="6"/>
        <v/>
      </c>
      <c r="N120" s="33"/>
      <c r="O120" s="33"/>
      <c r="P120" s="34"/>
      <c r="Q120" s="34"/>
      <c r="R120" s="34"/>
      <c r="S120" s="32" t="str">
        <f t="shared" si="7"/>
        <v/>
      </c>
      <c r="T120" s="32" t="str">
        <f t="shared" si="8"/>
        <v/>
      </c>
      <c r="U120" s="35"/>
      <c r="V120" s="35"/>
      <c r="W120" s="35"/>
      <c r="X120" s="35"/>
      <c r="Y120" s="32" t="str">
        <f t="shared" si="9"/>
        <v/>
      </c>
      <c r="Z120" s="35"/>
      <c r="AA120" s="35"/>
      <c r="AB120" s="35"/>
      <c r="AC120" s="35"/>
      <c r="AD120" s="35"/>
      <c r="AE120" s="35"/>
      <c r="AF120" s="35"/>
      <c r="AG120" s="15" t="s">
        <v>436</v>
      </c>
    </row>
    <row r="121" spans="1:33" ht="22.8" x14ac:dyDescent="0.3">
      <c r="A121" s="30">
        <v>3556</v>
      </c>
      <c r="B121" s="9"/>
      <c r="C121" s="36"/>
      <c r="D121" s="9"/>
      <c r="E121" s="9" t="s">
        <v>854</v>
      </c>
      <c r="F121" s="30" t="s">
        <v>314</v>
      </c>
      <c r="G121" s="31" t="s">
        <v>316</v>
      </c>
      <c r="H121" s="31" t="s">
        <v>316</v>
      </c>
      <c r="I121" s="31" t="s">
        <v>316</v>
      </c>
      <c r="J121" s="31" t="s">
        <v>316</v>
      </c>
      <c r="K121" s="31" t="s">
        <v>317</v>
      </c>
      <c r="L121" s="32" t="str">
        <f t="shared" si="5"/>
        <v>EXCLUDE</v>
      </c>
      <c r="M121" s="32" t="str">
        <f t="shared" si="6"/>
        <v>Non-English</v>
      </c>
      <c r="N121" s="33"/>
      <c r="O121" s="33"/>
      <c r="P121" s="34"/>
      <c r="Q121" s="34"/>
      <c r="R121" s="34"/>
      <c r="S121" s="32" t="str">
        <f t="shared" si="7"/>
        <v/>
      </c>
      <c r="T121" s="32" t="str">
        <f t="shared" si="8"/>
        <v/>
      </c>
      <c r="U121" s="35"/>
      <c r="V121" s="35"/>
      <c r="W121" s="35"/>
      <c r="X121" s="35"/>
      <c r="Y121" s="32" t="str">
        <f t="shared" si="9"/>
        <v/>
      </c>
      <c r="Z121" s="35"/>
      <c r="AA121" s="35"/>
      <c r="AB121" s="35"/>
      <c r="AC121" s="35"/>
      <c r="AD121" s="35"/>
      <c r="AE121" s="35"/>
      <c r="AF121" s="35"/>
      <c r="AG121" s="15" t="s">
        <v>437</v>
      </c>
    </row>
    <row r="122" spans="1:33" ht="22.8" x14ac:dyDescent="0.3">
      <c r="A122" s="30">
        <v>3558</v>
      </c>
      <c r="B122" s="9" t="s">
        <v>209</v>
      </c>
      <c r="C122" s="36">
        <v>2022</v>
      </c>
      <c r="D122" s="9"/>
      <c r="E122" s="9" t="s">
        <v>855</v>
      </c>
      <c r="F122" s="30" t="s">
        <v>314</v>
      </c>
      <c r="G122" s="31" t="s">
        <v>316</v>
      </c>
      <c r="H122" s="31" t="s">
        <v>316</v>
      </c>
      <c r="I122" s="31" t="s">
        <v>316</v>
      </c>
      <c r="J122" s="31" t="s">
        <v>316</v>
      </c>
      <c r="K122" s="31" t="s">
        <v>316</v>
      </c>
      <c r="L122" s="32" t="str">
        <f t="shared" si="5"/>
        <v>INCLUDE</v>
      </c>
      <c r="M122" s="32" t="str">
        <f t="shared" si="6"/>
        <v/>
      </c>
      <c r="N122" s="33" t="s">
        <v>58</v>
      </c>
      <c r="O122" s="33" t="s">
        <v>58</v>
      </c>
      <c r="P122" s="34"/>
      <c r="Q122" s="34"/>
      <c r="R122" s="34"/>
      <c r="S122" s="32" t="str">
        <f t="shared" si="7"/>
        <v/>
      </c>
      <c r="T122" s="32" t="str">
        <f t="shared" si="8"/>
        <v/>
      </c>
      <c r="U122" s="35"/>
      <c r="V122" s="35"/>
      <c r="W122" s="35"/>
      <c r="X122" s="35"/>
      <c r="Y122" s="32" t="str">
        <f t="shared" si="9"/>
        <v/>
      </c>
      <c r="Z122" s="35"/>
      <c r="AA122" s="35"/>
      <c r="AB122" s="35"/>
      <c r="AC122" s="35"/>
      <c r="AD122" s="35"/>
      <c r="AE122" s="35"/>
      <c r="AF122" s="35"/>
      <c r="AG122" s="15" t="s">
        <v>438</v>
      </c>
    </row>
    <row r="123" spans="1:33" ht="22.8" x14ac:dyDescent="0.3">
      <c r="A123" s="30">
        <v>3886</v>
      </c>
      <c r="B123" s="9" t="s">
        <v>210</v>
      </c>
      <c r="C123" s="36">
        <v>2025</v>
      </c>
      <c r="D123" s="9"/>
      <c r="E123" s="9" t="s">
        <v>856</v>
      </c>
      <c r="F123" s="30" t="s">
        <v>315</v>
      </c>
      <c r="G123" s="31" t="s">
        <v>316</v>
      </c>
      <c r="H123" s="31" t="s">
        <v>316</v>
      </c>
      <c r="I123" s="31" t="s">
        <v>316</v>
      </c>
      <c r="J123" s="31" t="s">
        <v>316</v>
      </c>
      <c r="K123" s="31" t="s">
        <v>316</v>
      </c>
      <c r="L123" s="32" t="str">
        <f t="shared" si="5"/>
        <v>INCLUDE</v>
      </c>
      <c r="M123" s="32" t="str">
        <f t="shared" si="6"/>
        <v/>
      </c>
      <c r="N123" s="33" t="s">
        <v>58</v>
      </c>
      <c r="O123" s="33" t="s">
        <v>58</v>
      </c>
      <c r="P123" s="34"/>
      <c r="Q123" s="34"/>
      <c r="R123" s="34"/>
      <c r="S123" s="32" t="str">
        <f t="shared" si="7"/>
        <v/>
      </c>
      <c r="T123" s="32" t="str">
        <f t="shared" si="8"/>
        <v/>
      </c>
      <c r="U123" s="35"/>
      <c r="V123" s="35"/>
      <c r="W123" s="35"/>
      <c r="X123" s="35"/>
      <c r="Y123" s="32" t="str">
        <f t="shared" si="9"/>
        <v/>
      </c>
      <c r="Z123" s="35"/>
      <c r="AA123" s="35"/>
      <c r="AB123" s="35"/>
      <c r="AC123" s="35"/>
      <c r="AD123" s="35"/>
      <c r="AE123" s="35"/>
      <c r="AF123" s="35"/>
      <c r="AG123" s="15" t="s">
        <v>439</v>
      </c>
    </row>
    <row r="124" spans="1:33" ht="22.8" x14ac:dyDescent="0.3">
      <c r="A124" s="30">
        <v>3949</v>
      </c>
      <c r="B124" s="9" t="s">
        <v>211</v>
      </c>
      <c r="C124" s="36">
        <v>2026</v>
      </c>
      <c r="D124" s="9"/>
      <c r="E124" s="9" t="s">
        <v>857</v>
      </c>
      <c r="F124" s="30" t="s">
        <v>315</v>
      </c>
      <c r="G124" s="31" t="s">
        <v>316</v>
      </c>
      <c r="H124" s="31" t="s">
        <v>316</v>
      </c>
      <c r="I124" s="31" t="s">
        <v>316</v>
      </c>
      <c r="J124" s="31" t="s">
        <v>316</v>
      </c>
      <c r="K124" s="31" t="s">
        <v>316</v>
      </c>
      <c r="L124" s="32" t="str">
        <f t="shared" si="5"/>
        <v>INCLUDE</v>
      </c>
      <c r="M124" s="32" t="str">
        <f t="shared" si="6"/>
        <v/>
      </c>
      <c r="N124" s="33" t="s">
        <v>58</v>
      </c>
      <c r="O124" s="33" t="s">
        <v>58</v>
      </c>
      <c r="P124" s="34"/>
      <c r="Q124" s="34"/>
      <c r="R124" s="34"/>
      <c r="S124" s="32" t="str">
        <f t="shared" si="7"/>
        <v/>
      </c>
      <c r="T124" s="32" t="str">
        <f t="shared" si="8"/>
        <v/>
      </c>
      <c r="U124" s="35"/>
      <c r="V124" s="35"/>
      <c r="W124" s="35"/>
      <c r="X124" s="35"/>
      <c r="Y124" s="32" t="str">
        <f t="shared" si="9"/>
        <v/>
      </c>
      <c r="Z124" s="35"/>
      <c r="AA124" s="35"/>
      <c r="AB124" s="35"/>
      <c r="AC124" s="35"/>
      <c r="AD124" s="35"/>
      <c r="AE124" s="35"/>
      <c r="AF124" s="35"/>
      <c r="AG124" s="15" t="s">
        <v>440</v>
      </c>
    </row>
    <row r="125" spans="1:33" ht="22.8" x14ac:dyDescent="0.3">
      <c r="A125" s="30">
        <v>3501</v>
      </c>
      <c r="B125" s="9"/>
      <c r="C125" s="36"/>
      <c r="D125" s="9"/>
      <c r="E125" s="9" t="s">
        <v>858</v>
      </c>
      <c r="F125" s="30" t="s">
        <v>314</v>
      </c>
      <c r="G125" s="31" t="s">
        <v>317</v>
      </c>
      <c r="H125" s="31" t="s">
        <v>316</v>
      </c>
      <c r="I125" s="31" t="s">
        <v>316</v>
      </c>
      <c r="J125" s="31" t="s">
        <v>316</v>
      </c>
      <c r="K125" s="31" t="s">
        <v>316</v>
      </c>
      <c r="L125" s="32" t="str">
        <f t="shared" si="5"/>
        <v>EXCLUDE</v>
      </c>
      <c r="M125" s="32" t="str">
        <f t="shared" si="6"/>
        <v>Wrong domain (non-AECO)</v>
      </c>
      <c r="N125" s="33"/>
      <c r="O125" s="33"/>
      <c r="P125" s="34"/>
      <c r="Q125" s="34"/>
      <c r="R125" s="34"/>
      <c r="S125" s="32" t="str">
        <f t="shared" si="7"/>
        <v/>
      </c>
      <c r="T125" s="32" t="str">
        <f t="shared" si="8"/>
        <v/>
      </c>
      <c r="U125" s="35"/>
      <c r="V125" s="35"/>
      <c r="W125" s="35"/>
      <c r="X125" s="35"/>
      <c r="Y125" s="32" t="str">
        <f t="shared" si="9"/>
        <v/>
      </c>
      <c r="Z125" s="35"/>
      <c r="AA125" s="35"/>
      <c r="AB125" s="35"/>
      <c r="AC125" s="35"/>
      <c r="AD125" s="35"/>
      <c r="AE125" s="35"/>
      <c r="AF125" s="35"/>
      <c r="AG125" s="15" t="s">
        <v>441</v>
      </c>
    </row>
    <row r="126" spans="1:33" ht="22.8" x14ac:dyDescent="0.3">
      <c r="A126" s="30">
        <v>3956</v>
      </c>
      <c r="B126" s="9" t="s">
        <v>212</v>
      </c>
      <c r="C126" s="36">
        <v>2026</v>
      </c>
      <c r="D126" s="9"/>
      <c r="E126" s="9" t="s">
        <v>859</v>
      </c>
      <c r="F126" s="30" t="s">
        <v>315</v>
      </c>
      <c r="G126" s="31" t="s">
        <v>316</v>
      </c>
      <c r="H126" s="31" t="s">
        <v>316</v>
      </c>
      <c r="I126" s="31" t="s">
        <v>316</v>
      </c>
      <c r="J126" s="31" t="s">
        <v>316</v>
      </c>
      <c r="K126" s="31" t="s">
        <v>316</v>
      </c>
      <c r="L126" s="32" t="str">
        <f t="shared" si="5"/>
        <v>INCLUDE</v>
      </c>
      <c r="M126" s="32" t="str">
        <f t="shared" si="6"/>
        <v/>
      </c>
      <c r="N126" s="33" t="s">
        <v>58</v>
      </c>
      <c r="O126" s="33" t="s">
        <v>58</v>
      </c>
      <c r="P126" s="34"/>
      <c r="Q126" s="34"/>
      <c r="R126" s="34"/>
      <c r="S126" s="32" t="str">
        <f t="shared" si="7"/>
        <v/>
      </c>
      <c r="T126" s="32" t="str">
        <f t="shared" si="8"/>
        <v/>
      </c>
      <c r="U126" s="35"/>
      <c r="V126" s="35"/>
      <c r="W126" s="35"/>
      <c r="X126" s="35"/>
      <c r="Y126" s="32" t="str">
        <f t="shared" si="9"/>
        <v/>
      </c>
      <c r="Z126" s="35"/>
      <c r="AA126" s="35"/>
      <c r="AB126" s="35"/>
      <c r="AC126" s="35"/>
      <c r="AD126" s="35"/>
      <c r="AE126" s="35"/>
      <c r="AF126" s="35"/>
      <c r="AG126" s="15" t="s">
        <v>442</v>
      </c>
    </row>
    <row r="127" spans="1:33" ht="22.8" x14ac:dyDescent="0.3">
      <c r="A127" s="30">
        <v>3971</v>
      </c>
      <c r="B127" s="9"/>
      <c r="C127" s="36"/>
      <c r="D127" s="9"/>
      <c r="E127" s="9" t="s">
        <v>860</v>
      </c>
      <c r="F127" s="30" t="s">
        <v>315</v>
      </c>
      <c r="G127" s="31" t="s">
        <v>317</v>
      </c>
      <c r="H127" s="31" t="s">
        <v>316</v>
      </c>
      <c r="I127" s="31" t="s">
        <v>317</v>
      </c>
      <c r="J127" s="31" t="s">
        <v>316</v>
      </c>
      <c r="K127" s="31" t="s">
        <v>316</v>
      </c>
      <c r="L127" s="32" t="str">
        <f t="shared" si="5"/>
        <v>EXCLUDE</v>
      </c>
      <c r="M127" s="32" t="str">
        <f t="shared" si="6"/>
        <v>Wrong domain (non-AECO)</v>
      </c>
      <c r="N127" s="33"/>
      <c r="O127" s="33"/>
      <c r="P127" s="34"/>
      <c r="Q127" s="34"/>
      <c r="R127" s="34"/>
      <c r="S127" s="32" t="str">
        <f t="shared" si="7"/>
        <v/>
      </c>
      <c r="T127" s="32" t="str">
        <f t="shared" si="8"/>
        <v/>
      </c>
      <c r="U127" s="35"/>
      <c r="V127" s="35"/>
      <c r="W127" s="35"/>
      <c r="X127" s="35"/>
      <c r="Y127" s="32" t="str">
        <f t="shared" si="9"/>
        <v/>
      </c>
      <c r="Z127" s="35"/>
      <c r="AA127" s="35"/>
      <c r="AB127" s="35"/>
      <c r="AC127" s="35"/>
      <c r="AD127" s="35"/>
      <c r="AE127" s="35"/>
      <c r="AF127" s="35"/>
      <c r="AG127" s="15" t="s">
        <v>443</v>
      </c>
    </row>
    <row r="128" spans="1:33" ht="22.8" x14ac:dyDescent="0.3">
      <c r="A128" s="30">
        <v>3642</v>
      </c>
      <c r="B128" s="9"/>
      <c r="C128" s="36"/>
      <c r="D128" s="9"/>
      <c r="E128" s="9" t="s">
        <v>861</v>
      </c>
      <c r="F128" s="30" t="s">
        <v>314</v>
      </c>
      <c r="G128" s="31" t="s">
        <v>316</v>
      </c>
      <c r="H128" s="31" t="s">
        <v>316</v>
      </c>
      <c r="I128" s="31" t="s">
        <v>316</v>
      </c>
      <c r="J128" s="31" t="s">
        <v>316</v>
      </c>
      <c r="K128" s="31" t="s">
        <v>317</v>
      </c>
      <c r="L128" s="32" t="str">
        <f t="shared" si="5"/>
        <v>EXCLUDE</v>
      </c>
      <c r="M128" s="32" t="str">
        <f t="shared" si="6"/>
        <v>Non-English</v>
      </c>
      <c r="N128" s="33"/>
      <c r="O128" s="33"/>
      <c r="P128" s="34"/>
      <c r="Q128" s="34"/>
      <c r="R128" s="34"/>
      <c r="S128" s="32" t="str">
        <f t="shared" si="7"/>
        <v/>
      </c>
      <c r="T128" s="32" t="str">
        <f t="shared" si="8"/>
        <v/>
      </c>
      <c r="U128" s="35"/>
      <c r="V128" s="35"/>
      <c r="W128" s="35"/>
      <c r="X128" s="35"/>
      <c r="Y128" s="32" t="str">
        <f t="shared" si="9"/>
        <v/>
      </c>
      <c r="Z128" s="35"/>
      <c r="AA128" s="35"/>
      <c r="AB128" s="35"/>
      <c r="AC128" s="35"/>
      <c r="AD128" s="35"/>
      <c r="AE128" s="35"/>
      <c r="AF128" s="35"/>
      <c r="AG128" s="15" t="s">
        <v>444</v>
      </c>
    </row>
    <row r="129" spans="1:33" ht="22.8" x14ac:dyDescent="0.3">
      <c r="A129" s="30">
        <v>3575</v>
      </c>
      <c r="B129" s="9" t="s">
        <v>213</v>
      </c>
      <c r="C129" s="36">
        <v>2024</v>
      </c>
      <c r="D129" s="9"/>
      <c r="E129" s="9" t="s">
        <v>862</v>
      </c>
      <c r="F129" s="30" t="s">
        <v>314</v>
      </c>
      <c r="G129" s="31" t="s">
        <v>316</v>
      </c>
      <c r="H129" s="31" t="s">
        <v>316</v>
      </c>
      <c r="I129" s="31" t="s">
        <v>316</v>
      </c>
      <c r="J129" s="31" t="s">
        <v>316</v>
      </c>
      <c r="K129" s="31" t="s">
        <v>316</v>
      </c>
      <c r="L129" s="32" t="str">
        <f t="shared" si="5"/>
        <v>INCLUDE</v>
      </c>
      <c r="M129" s="32" t="str">
        <f t="shared" si="6"/>
        <v/>
      </c>
      <c r="N129" s="33" t="s">
        <v>58</v>
      </c>
      <c r="O129" s="33" t="s">
        <v>58</v>
      </c>
      <c r="P129" s="34"/>
      <c r="Q129" s="34"/>
      <c r="R129" s="34"/>
      <c r="S129" s="32" t="str">
        <f t="shared" si="7"/>
        <v/>
      </c>
      <c r="T129" s="32" t="str">
        <f t="shared" si="8"/>
        <v/>
      </c>
      <c r="U129" s="35"/>
      <c r="V129" s="35"/>
      <c r="W129" s="35"/>
      <c r="X129" s="35"/>
      <c r="Y129" s="32" t="str">
        <f t="shared" si="9"/>
        <v/>
      </c>
      <c r="Z129" s="35"/>
      <c r="AA129" s="35"/>
      <c r="AB129" s="35"/>
      <c r="AC129" s="35"/>
      <c r="AD129" s="35"/>
      <c r="AE129" s="35"/>
      <c r="AF129" s="35"/>
      <c r="AG129" s="15" t="s">
        <v>445</v>
      </c>
    </row>
    <row r="130" spans="1:33" ht="22.8" x14ac:dyDescent="0.3">
      <c r="A130" s="30">
        <v>3666</v>
      </c>
      <c r="B130" s="9" t="s">
        <v>214</v>
      </c>
      <c r="C130" s="36">
        <v>2026</v>
      </c>
      <c r="D130" s="9"/>
      <c r="E130" s="9" t="s">
        <v>863</v>
      </c>
      <c r="F130" s="30" t="s">
        <v>314</v>
      </c>
      <c r="G130" s="31" t="s">
        <v>316</v>
      </c>
      <c r="H130" s="31" t="s">
        <v>316</v>
      </c>
      <c r="I130" s="31" t="s">
        <v>316</v>
      </c>
      <c r="J130" s="31" t="s">
        <v>316</v>
      </c>
      <c r="K130" s="31" t="s">
        <v>316</v>
      </c>
      <c r="L130" s="32" t="str">
        <f t="shared" ref="L130:L193" si="10">IF(COUNTBLANK(G130:K130)=5,"",IF(COUNTIF(G130:K130,"No")&gt;0,"EXCLUDE","INCLUDE"))</f>
        <v>INCLUDE</v>
      </c>
      <c r="M130" s="32" t="str">
        <f t="shared" ref="M130:M193" si="11">IF(L130&lt;&gt;"EXCLUDE","",IF(G130="No","Wrong domain (non-AECO)",IF(H130="No","Digital Twin not core / buzzword",IF(I130="No","No Design for Safety/Quality/PtD",IF(J130="No","Wrong publication type",IF(K130="No","Non-English",""))))))</f>
        <v/>
      </c>
      <c r="N130" s="33" t="s">
        <v>58</v>
      </c>
      <c r="O130" s="33" t="s">
        <v>58</v>
      </c>
      <c r="P130" s="34"/>
      <c r="Q130" s="34"/>
      <c r="R130" s="34"/>
      <c r="S130" s="32" t="str">
        <f t="shared" ref="S130:S193" si="12">IF(N130&lt;&gt;"Yes","",IF(COUNTBLANK(P130:R130)=3,"",IF(COUNTIF(P130:R130,"No")&gt;0,"EXCLUDE","INCLUDE")))</f>
        <v/>
      </c>
      <c r="T130" s="32" t="str">
        <f t="shared" ref="T130:T193" si="13">IF(S130&lt;&gt;"EXCLUDE","",IF(P130="No","Digital Twin mentioned only, not the subject",IF(Q130="No","No Design for Safety/Quality in full text",IF(R130="No","Methodology not codable",""))))</f>
        <v/>
      </c>
      <c r="U130" s="35"/>
      <c r="V130" s="35"/>
      <c r="W130" s="35"/>
      <c r="X130" s="35"/>
      <c r="Y130" s="32" t="str">
        <f t="shared" ref="Y130:Y193" si="14">IF(SUM(V130:X130)=0,"",IF(SUM(V130:X130)&gt;=2,"Multi","Single"))</f>
        <v/>
      </c>
      <c r="Z130" s="35"/>
      <c r="AA130" s="35"/>
      <c r="AB130" s="35"/>
      <c r="AC130" s="35"/>
      <c r="AD130" s="35"/>
      <c r="AE130" s="35"/>
      <c r="AF130" s="35"/>
      <c r="AG130" s="15" t="s">
        <v>446</v>
      </c>
    </row>
    <row r="131" spans="1:33" ht="22.8" x14ac:dyDescent="0.3">
      <c r="A131" s="30">
        <v>3976</v>
      </c>
      <c r="B131" s="9"/>
      <c r="C131" s="36"/>
      <c r="D131" s="9"/>
      <c r="E131" s="9" t="s">
        <v>864</v>
      </c>
      <c r="F131" s="30" t="s">
        <v>315</v>
      </c>
      <c r="G131" s="31" t="s">
        <v>316</v>
      </c>
      <c r="H131" s="31" t="s">
        <v>317</v>
      </c>
      <c r="I131" s="31" t="s">
        <v>316</v>
      </c>
      <c r="J131" s="31" t="s">
        <v>316</v>
      </c>
      <c r="K131" s="31" t="s">
        <v>316</v>
      </c>
      <c r="L131" s="32" t="str">
        <f t="shared" si="10"/>
        <v>EXCLUDE</v>
      </c>
      <c r="M131" s="32" t="str">
        <f t="shared" si="11"/>
        <v>Digital Twin not core / buzzword</v>
      </c>
      <c r="N131" s="33"/>
      <c r="O131" s="33"/>
      <c r="P131" s="34"/>
      <c r="Q131" s="34"/>
      <c r="R131" s="34"/>
      <c r="S131" s="32" t="str">
        <f t="shared" si="12"/>
        <v/>
      </c>
      <c r="T131" s="32" t="str">
        <f t="shared" si="13"/>
        <v/>
      </c>
      <c r="U131" s="35"/>
      <c r="V131" s="35"/>
      <c r="W131" s="35"/>
      <c r="X131" s="35"/>
      <c r="Y131" s="32" t="str">
        <f t="shared" si="14"/>
        <v/>
      </c>
      <c r="Z131" s="35"/>
      <c r="AA131" s="35"/>
      <c r="AB131" s="35"/>
      <c r="AC131" s="35"/>
      <c r="AD131" s="35"/>
      <c r="AE131" s="35"/>
      <c r="AF131" s="35"/>
      <c r="AG131" s="15" t="s">
        <v>447</v>
      </c>
    </row>
    <row r="132" spans="1:33" ht="22.8" x14ac:dyDescent="0.3">
      <c r="A132" s="30">
        <v>3790</v>
      </c>
      <c r="B132" s="9"/>
      <c r="C132" s="36"/>
      <c r="D132" s="9"/>
      <c r="E132" s="9" t="s">
        <v>865</v>
      </c>
      <c r="F132" s="30" t="s">
        <v>314</v>
      </c>
      <c r="G132" s="31" t="s">
        <v>317</v>
      </c>
      <c r="H132" s="31" t="s">
        <v>317</v>
      </c>
      <c r="I132" s="31" t="s">
        <v>316</v>
      </c>
      <c r="J132" s="31" t="s">
        <v>316</v>
      </c>
      <c r="K132" s="31" t="s">
        <v>316</v>
      </c>
      <c r="L132" s="32" t="str">
        <f t="shared" si="10"/>
        <v>EXCLUDE</v>
      </c>
      <c r="M132" s="32" t="str">
        <f t="shared" si="11"/>
        <v>Wrong domain (non-AECO)</v>
      </c>
      <c r="N132" s="33"/>
      <c r="O132" s="33"/>
      <c r="P132" s="34"/>
      <c r="Q132" s="34"/>
      <c r="R132" s="34"/>
      <c r="S132" s="32" t="str">
        <f t="shared" si="12"/>
        <v/>
      </c>
      <c r="T132" s="32" t="str">
        <f t="shared" si="13"/>
        <v/>
      </c>
      <c r="U132" s="35"/>
      <c r="V132" s="35"/>
      <c r="W132" s="35"/>
      <c r="X132" s="35"/>
      <c r="Y132" s="32" t="str">
        <f t="shared" si="14"/>
        <v/>
      </c>
      <c r="Z132" s="35"/>
      <c r="AA132" s="35"/>
      <c r="AB132" s="35"/>
      <c r="AC132" s="35"/>
      <c r="AD132" s="35"/>
      <c r="AE132" s="35"/>
      <c r="AF132" s="35"/>
      <c r="AG132" s="15" t="s">
        <v>448</v>
      </c>
    </row>
    <row r="133" spans="1:33" ht="22.8" x14ac:dyDescent="0.3">
      <c r="A133" s="30">
        <v>3821</v>
      </c>
      <c r="B133" s="9"/>
      <c r="C133" s="36"/>
      <c r="D133" s="9"/>
      <c r="E133" s="9" t="s">
        <v>866</v>
      </c>
      <c r="F133" s="30" t="s">
        <v>314</v>
      </c>
      <c r="G133" s="31" t="s">
        <v>316</v>
      </c>
      <c r="H133" s="31" t="s">
        <v>316</v>
      </c>
      <c r="I133" s="31" t="s">
        <v>316</v>
      </c>
      <c r="J133" s="31" t="s">
        <v>316</v>
      </c>
      <c r="K133" s="31" t="s">
        <v>317</v>
      </c>
      <c r="L133" s="32" t="str">
        <f t="shared" si="10"/>
        <v>EXCLUDE</v>
      </c>
      <c r="M133" s="32" t="str">
        <f t="shared" si="11"/>
        <v>Non-English</v>
      </c>
      <c r="N133" s="33"/>
      <c r="O133" s="33"/>
      <c r="P133" s="34"/>
      <c r="Q133" s="34"/>
      <c r="R133" s="34"/>
      <c r="S133" s="32" t="str">
        <f t="shared" si="12"/>
        <v/>
      </c>
      <c r="T133" s="32" t="str">
        <f t="shared" si="13"/>
        <v/>
      </c>
      <c r="U133" s="35"/>
      <c r="V133" s="35"/>
      <c r="W133" s="35"/>
      <c r="X133" s="35"/>
      <c r="Y133" s="32" t="str">
        <f t="shared" si="14"/>
        <v/>
      </c>
      <c r="Z133" s="35"/>
      <c r="AA133" s="35"/>
      <c r="AB133" s="35"/>
      <c r="AC133" s="35"/>
      <c r="AD133" s="35"/>
      <c r="AE133" s="35"/>
      <c r="AF133" s="35"/>
      <c r="AG133" s="15" t="s">
        <v>449</v>
      </c>
    </row>
    <row r="134" spans="1:33" ht="22.8" x14ac:dyDescent="0.3">
      <c r="A134" s="30">
        <v>3987</v>
      </c>
      <c r="B134" s="9"/>
      <c r="C134" s="36"/>
      <c r="D134" s="9"/>
      <c r="E134" s="9" t="s">
        <v>867</v>
      </c>
      <c r="F134" s="30" t="s">
        <v>315</v>
      </c>
      <c r="G134" s="31" t="s">
        <v>316</v>
      </c>
      <c r="H134" s="31" t="s">
        <v>316</v>
      </c>
      <c r="I134" s="31" t="s">
        <v>317</v>
      </c>
      <c r="J134" s="31" t="s">
        <v>316</v>
      </c>
      <c r="K134" s="31" t="s">
        <v>316</v>
      </c>
      <c r="L134" s="32" t="str">
        <f t="shared" si="10"/>
        <v>EXCLUDE</v>
      </c>
      <c r="M134" s="32" t="str">
        <f t="shared" si="11"/>
        <v>No Design for Safety/Quality/PtD</v>
      </c>
      <c r="N134" s="33"/>
      <c r="O134" s="33"/>
      <c r="P134" s="34"/>
      <c r="Q134" s="34"/>
      <c r="R134" s="34"/>
      <c r="S134" s="32" t="str">
        <f t="shared" si="12"/>
        <v/>
      </c>
      <c r="T134" s="32" t="str">
        <f t="shared" si="13"/>
        <v/>
      </c>
      <c r="U134" s="35"/>
      <c r="V134" s="35"/>
      <c r="W134" s="35"/>
      <c r="X134" s="35"/>
      <c r="Y134" s="32" t="str">
        <f t="shared" si="14"/>
        <v/>
      </c>
      <c r="Z134" s="35"/>
      <c r="AA134" s="35"/>
      <c r="AB134" s="35"/>
      <c r="AC134" s="35"/>
      <c r="AD134" s="35"/>
      <c r="AE134" s="35"/>
      <c r="AF134" s="35"/>
      <c r="AG134" s="15" t="s">
        <v>450</v>
      </c>
    </row>
    <row r="135" spans="1:33" ht="22.8" x14ac:dyDescent="0.3">
      <c r="A135" s="30">
        <v>4050</v>
      </c>
      <c r="B135" s="9"/>
      <c r="C135" s="36"/>
      <c r="D135" s="9"/>
      <c r="E135" s="9" t="s">
        <v>868</v>
      </c>
      <c r="F135" s="30" t="s">
        <v>315</v>
      </c>
      <c r="G135" s="31" t="s">
        <v>316</v>
      </c>
      <c r="H135" s="31" t="s">
        <v>317</v>
      </c>
      <c r="I135" s="31" t="s">
        <v>317</v>
      </c>
      <c r="J135" s="31" t="s">
        <v>316</v>
      </c>
      <c r="K135" s="31" t="s">
        <v>316</v>
      </c>
      <c r="L135" s="32" t="str">
        <f t="shared" si="10"/>
        <v>EXCLUDE</v>
      </c>
      <c r="M135" s="32" t="str">
        <f t="shared" si="11"/>
        <v>Digital Twin not core / buzzword</v>
      </c>
      <c r="N135" s="33"/>
      <c r="O135" s="33"/>
      <c r="P135" s="34"/>
      <c r="Q135" s="34"/>
      <c r="R135" s="34"/>
      <c r="S135" s="32" t="str">
        <f t="shared" si="12"/>
        <v/>
      </c>
      <c r="T135" s="32" t="str">
        <f t="shared" si="13"/>
        <v/>
      </c>
      <c r="U135" s="35"/>
      <c r="V135" s="35"/>
      <c r="W135" s="35"/>
      <c r="X135" s="35"/>
      <c r="Y135" s="32" t="str">
        <f t="shared" si="14"/>
        <v/>
      </c>
      <c r="Z135" s="35"/>
      <c r="AA135" s="35"/>
      <c r="AB135" s="35"/>
      <c r="AC135" s="35"/>
      <c r="AD135" s="35"/>
      <c r="AE135" s="35"/>
      <c r="AF135" s="35"/>
      <c r="AG135" s="15" t="s">
        <v>451</v>
      </c>
    </row>
    <row r="136" spans="1:33" ht="22.8" x14ac:dyDescent="0.3">
      <c r="A136" s="30">
        <v>3563</v>
      </c>
      <c r="B136" s="9"/>
      <c r="C136" s="36"/>
      <c r="D136" s="9"/>
      <c r="E136" s="9" t="s">
        <v>869</v>
      </c>
      <c r="F136" s="30" t="s">
        <v>314</v>
      </c>
      <c r="G136" s="31" t="s">
        <v>317</v>
      </c>
      <c r="H136" s="31" t="s">
        <v>316</v>
      </c>
      <c r="I136" s="31" t="s">
        <v>316</v>
      </c>
      <c r="J136" s="31" t="s">
        <v>316</v>
      </c>
      <c r="K136" s="31" t="s">
        <v>316</v>
      </c>
      <c r="L136" s="32" t="str">
        <f t="shared" si="10"/>
        <v>EXCLUDE</v>
      </c>
      <c r="M136" s="32" t="str">
        <f t="shared" si="11"/>
        <v>Wrong domain (non-AECO)</v>
      </c>
      <c r="N136" s="33"/>
      <c r="O136" s="33"/>
      <c r="P136" s="34"/>
      <c r="Q136" s="34"/>
      <c r="R136" s="34"/>
      <c r="S136" s="32" t="str">
        <f t="shared" si="12"/>
        <v/>
      </c>
      <c r="T136" s="32" t="str">
        <f t="shared" si="13"/>
        <v/>
      </c>
      <c r="U136" s="35"/>
      <c r="V136" s="35"/>
      <c r="W136" s="35"/>
      <c r="X136" s="35"/>
      <c r="Y136" s="32" t="str">
        <f t="shared" si="14"/>
        <v/>
      </c>
      <c r="Z136" s="35"/>
      <c r="AA136" s="35"/>
      <c r="AB136" s="35"/>
      <c r="AC136" s="35"/>
      <c r="AD136" s="35"/>
      <c r="AE136" s="35"/>
      <c r="AF136" s="35"/>
      <c r="AG136" s="15" t="s">
        <v>452</v>
      </c>
    </row>
    <row r="137" spans="1:33" ht="22.8" x14ac:dyDescent="0.3">
      <c r="A137" s="30">
        <v>3592</v>
      </c>
      <c r="B137" s="9"/>
      <c r="C137" s="36"/>
      <c r="D137" s="9"/>
      <c r="E137" s="9" t="s">
        <v>870</v>
      </c>
      <c r="F137" s="30" t="s">
        <v>314</v>
      </c>
      <c r="G137" s="31" t="s">
        <v>316</v>
      </c>
      <c r="H137" s="31" t="s">
        <v>316</v>
      </c>
      <c r="I137" s="31" t="s">
        <v>317</v>
      </c>
      <c r="J137" s="31" t="s">
        <v>316</v>
      </c>
      <c r="K137" s="31" t="s">
        <v>316</v>
      </c>
      <c r="L137" s="32" t="str">
        <f t="shared" si="10"/>
        <v>EXCLUDE</v>
      </c>
      <c r="M137" s="32" t="str">
        <f t="shared" si="11"/>
        <v>No Design for Safety/Quality/PtD</v>
      </c>
      <c r="N137" s="33"/>
      <c r="O137" s="33"/>
      <c r="P137" s="34"/>
      <c r="Q137" s="34"/>
      <c r="R137" s="34"/>
      <c r="S137" s="32" t="str">
        <f t="shared" si="12"/>
        <v/>
      </c>
      <c r="T137" s="32" t="str">
        <f t="shared" si="13"/>
        <v/>
      </c>
      <c r="U137" s="35"/>
      <c r="V137" s="35"/>
      <c r="W137" s="35"/>
      <c r="X137" s="35"/>
      <c r="Y137" s="32" t="str">
        <f t="shared" si="14"/>
        <v/>
      </c>
      <c r="Z137" s="35"/>
      <c r="AA137" s="35"/>
      <c r="AB137" s="35"/>
      <c r="AC137" s="35"/>
      <c r="AD137" s="35"/>
      <c r="AE137" s="35"/>
      <c r="AF137" s="35"/>
      <c r="AG137" s="15" t="s">
        <v>453</v>
      </c>
    </row>
    <row r="138" spans="1:33" ht="22.8" x14ac:dyDescent="0.3">
      <c r="A138" s="30">
        <v>3930</v>
      </c>
      <c r="B138" s="9" t="s">
        <v>215</v>
      </c>
      <c r="C138" s="36">
        <v>2022</v>
      </c>
      <c r="D138" s="9"/>
      <c r="E138" s="9" t="s">
        <v>871</v>
      </c>
      <c r="F138" s="30" t="s">
        <v>315</v>
      </c>
      <c r="G138" s="31" t="s">
        <v>316</v>
      </c>
      <c r="H138" s="31" t="s">
        <v>316</v>
      </c>
      <c r="I138" s="31" t="s">
        <v>316</v>
      </c>
      <c r="J138" s="31" t="s">
        <v>316</v>
      </c>
      <c r="K138" s="31" t="s">
        <v>316</v>
      </c>
      <c r="L138" s="32" t="str">
        <f t="shared" si="10"/>
        <v>INCLUDE</v>
      </c>
      <c r="M138" s="32" t="str">
        <f t="shared" si="11"/>
        <v/>
      </c>
      <c r="N138" s="33" t="s">
        <v>58</v>
      </c>
      <c r="O138" s="33" t="s">
        <v>58</v>
      </c>
      <c r="P138" s="34"/>
      <c r="Q138" s="34"/>
      <c r="R138" s="34"/>
      <c r="S138" s="32" t="str">
        <f t="shared" si="12"/>
        <v/>
      </c>
      <c r="T138" s="32" t="str">
        <f t="shared" si="13"/>
        <v/>
      </c>
      <c r="U138" s="35"/>
      <c r="V138" s="35"/>
      <c r="W138" s="35"/>
      <c r="X138" s="35"/>
      <c r="Y138" s="32" t="str">
        <f t="shared" si="14"/>
        <v/>
      </c>
      <c r="Z138" s="35"/>
      <c r="AA138" s="35"/>
      <c r="AB138" s="35"/>
      <c r="AC138" s="35"/>
      <c r="AD138" s="35"/>
      <c r="AE138" s="35"/>
      <c r="AF138" s="35"/>
      <c r="AG138" s="15" t="s">
        <v>454</v>
      </c>
    </row>
    <row r="139" spans="1:33" ht="79.8" x14ac:dyDescent="0.3">
      <c r="A139" s="30">
        <v>3784</v>
      </c>
      <c r="B139" s="9" t="s">
        <v>215</v>
      </c>
      <c r="C139" s="36">
        <v>2022</v>
      </c>
      <c r="D139" s="9"/>
      <c r="E139" s="9" t="s">
        <v>872</v>
      </c>
      <c r="F139" s="30" t="s">
        <v>314</v>
      </c>
      <c r="G139" s="31" t="s">
        <v>316</v>
      </c>
      <c r="H139" s="31" t="s">
        <v>316</v>
      </c>
      <c r="I139" s="31" t="s">
        <v>316</v>
      </c>
      <c r="J139" s="31" t="s">
        <v>316</v>
      </c>
      <c r="K139" s="31" t="s">
        <v>316</v>
      </c>
      <c r="L139" s="32" t="str">
        <f t="shared" si="10"/>
        <v>INCLUDE</v>
      </c>
      <c r="M139" s="32" t="str">
        <f t="shared" si="11"/>
        <v/>
      </c>
      <c r="N139" s="33" t="s">
        <v>49</v>
      </c>
      <c r="O139" s="33" t="s">
        <v>49</v>
      </c>
      <c r="P139" s="34" t="s">
        <v>49</v>
      </c>
      <c r="Q139" s="34" t="s">
        <v>49</v>
      </c>
      <c r="R139" s="34" t="s">
        <v>49</v>
      </c>
      <c r="S139" s="32" t="str">
        <f t="shared" si="12"/>
        <v>INCLUDE</v>
      </c>
      <c r="T139" s="32" t="str">
        <f t="shared" si="13"/>
        <v/>
      </c>
      <c r="U139" s="35" t="s">
        <v>61</v>
      </c>
      <c r="V139" s="35">
        <v>0</v>
      </c>
      <c r="W139" s="35">
        <v>1</v>
      </c>
      <c r="X139" s="35">
        <v>0</v>
      </c>
      <c r="Y139" s="32" t="str">
        <f t="shared" si="14"/>
        <v>Single</v>
      </c>
      <c r="Z139" s="35" t="s">
        <v>9</v>
      </c>
      <c r="AA139" s="35" t="s">
        <v>53</v>
      </c>
      <c r="AB139" s="35" t="s">
        <v>91</v>
      </c>
      <c r="AC139" s="35" t="s">
        <v>64</v>
      </c>
      <c r="AD139" s="35" t="s">
        <v>72</v>
      </c>
      <c r="AE139" s="35">
        <v>3</v>
      </c>
      <c r="AF139" s="35" t="s">
        <v>80</v>
      </c>
      <c r="AG139" s="15" t="s">
        <v>455</v>
      </c>
    </row>
    <row r="140" spans="1:33" ht="22.8" x14ac:dyDescent="0.3">
      <c r="A140" s="30">
        <v>3630</v>
      </c>
      <c r="B140" s="9"/>
      <c r="C140" s="36"/>
      <c r="D140" s="9"/>
      <c r="E140" s="9" t="s">
        <v>873</v>
      </c>
      <c r="F140" s="30" t="s">
        <v>314</v>
      </c>
      <c r="G140" s="31" t="s">
        <v>316</v>
      </c>
      <c r="H140" s="31" t="s">
        <v>316</v>
      </c>
      <c r="I140" s="31" t="s">
        <v>316</v>
      </c>
      <c r="J140" s="31" t="s">
        <v>316</v>
      </c>
      <c r="K140" s="31" t="s">
        <v>317</v>
      </c>
      <c r="L140" s="32" t="str">
        <f t="shared" si="10"/>
        <v>EXCLUDE</v>
      </c>
      <c r="M140" s="32" t="str">
        <f t="shared" si="11"/>
        <v>Non-English</v>
      </c>
      <c r="N140" s="33"/>
      <c r="O140" s="33"/>
      <c r="P140" s="34"/>
      <c r="Q140" s="34"/>
      <c r="R140" s="34"/>
      <c r="S140" s="32" t="str">
        <f t="shared" si="12"/>
        <v/>
      </c>
      <c r="T140" s="32" t="str">
        <f t="shared" si="13"/>
        <v/>
      </c>
      <c r="U140" s="35"/>
      <c r="V140" s="35"/>
      <c r="W140" s="35"/>
      <c r="X140" s="35"/>
      <c r="Y140" s="32" t="str">
        <f t="shared" si="14"/>
        <v/>
      </c>
      <c r="Z140" s="35"/>
      <c r="AA140" s="35"/>
      <c r="AB140" s="35"/>
      <c r="AC140" s="35"/>
      <c r="AD140" s="35"/>
      <c r="AE140" s="35"/>
      <c r="AF140" s="35"/>
      <c r="AG140" s="15" t="s">
        <v>456</v>
      </c>
    </row>
    <row r="141" spans="1:33" ht="22.8" x14ac:dyDescent="0.3">
      <c r="A141" s="30">
        <v>4054</v>
      </c>
      <c r="B141" s="9"/>
      <c r="C141" s="36"/>
      <c r="D141" s="9"/>
      <c r="E141" s="9" t="s">
        <v>874</v>
      </c>
      <c r="F141" s="30" t="s">
        <v>315</v>
      </c>
      <c r="G141" s="31" t="s">
        <v>316</v>
      </c>
      <c r="H141" s="31" t="s">
        <v>317</v>
      </c>
      <c r="I141" s="31" t="s">
        <v>316</v>
      </c>
      <c r="J141" s="31" t="s">
        <v>316</v>
      </c>
      <c r="K141" s="31" t="s">
        <v>316</v>
      </c>
      <c r="L141" s="32" t="str">
        <f t="shared" si="10"/>
        <v>EXCLUDE</v>
      </c>
      <c r="M141" s="32" t="str">
        <f t="shared" si="11"/>
        <v>Digital Twin not core / buzzword</v>
      </c>
      <c r="N141" s="33"/>
      <c r="O141" s="33"/>
      <c r="P141" s="34"/>
      <c r="Q141" s="34"/>
      <c r="R141" s="34"/>
      <c r="S141" s="32" t="str">
        <f t="shared" si="12"/>
        <v/>
      </c>
      <c r="T141" s="32" t="str">
        <f t="shared" si="13"/>
        <v/>
      </c>
      <c r="U141" s="35"/>
      <c r="V141" s="35"/>
      <c r="W141" s="35"/>
      <c r="X141" s="35"/>
      <c r="Y141" s="32" t="str">
        <f t="shared" si="14"/>
        <v/>
      </c>
      <c r="Z141" s="35"/>
      <c r="AA141" s="35"/>
      <c r="AB141" s="35"/>
      <c r="AC141" s="35"/>
      <c r="AD141" s="35"/>
      <c r="AE141" s="35"/>
      <c r="AF141" s="35"/>
      <c r="AG141" s="15" t="s">
        <v>457</v>
      </c>
    </row>
    <row r="142" spans="1:33" x14ac:dyDescent="0.3">
      <c r="A142" s="30">
        <v>3605</v>
      </c>
      <c r="B142" s="9" t="s">
        <v>216</v>
      </c>
      <c r="C142" s="36">
        <v>2023</v>
      </c>
      <c r="D142" s="9"/>
      <c r="E142" s="9" t="s">
        <v>875</v>
      </c>
      <c r="F142" s="30" t="s">
        <v>314</v>
      </c>
      <c r="G142" s="31" t="s">
        <v>316</v>
      </c>
      <c r="H142" s="31" t="s">
        <v>316</v>
      </c>
      <c r="I142" s="31" t="s">
        <v>316</v>
      </c>
      <c r="J142" s="31" t="s">
        <v>316</v>
      </c>
      <c r="K142" s="31" t="s">
        <v>316</v>
      </c>
      <c r="L142" s="32" t="str">
        <f t="shared" si="10"/>
        <v>INCLUDE</v>
      </c>
      <c r="M142" s="32" t="str">
        <f t="shared" si="11"/>
        <v/>
      </c>
      <c r="N142" s="33" t="s">
        <v>58</v>
      </c>
      <c r="O142" s="33" t="s">
        <v>58</v>
      </c>
      <c r="P142" s="34"/>
      <c r="Q142" s="34"/>
      <c r="R142" s="34"/>
      <c r="S142" s="32" t="str">
        <f t="shared" si="12"/>
        <v/>
      </c>
      <c r="T142" s="32" t="str">
        <f t="shared" si="13"/>
        <v/>
      </c>
      <c r="U142" s="35"/>
      <c r="V142" s="35"/>
      <c r="W142" s="35"/>
      <c r="X142" s="35"/>
      <c r="Y142" s="32" t="str">
        <f t="shared" si="14"/>
        <v/>
      </c>
      <c r="Z142" s="35"/>
      <c r="AA142" s="35"/>
      <c r="AB142" s="35"/>
      <c r="AC142" s="35"/>
      <c r="AD142" s="35"/>
      <c r="AE142" s="35"/>
      <c r="AF142" s="35"/>
      <c r="AG142" s="15" t="s">
        <v>458</v>
      </c>
    </row>
    <row r="143" spans="1:33" ht="22.8" x14ac:dyDescent="0.3">
      <c r="A143" s="30">
        <v>3794</v>
      </c>
      <c r="B143" s="9"/>
      <c r="C143" s="36"/>
      <c r="D143" s="9"/>
      <c r="E143" s="9" t="s">
        <v>876</v>
      </c>
      <c r="F143" s="30" t="s">
        <v>314</v>
      </c>
      <c r="G143" s="31" t="s">
        <v>316</v>
      </c>
      <c r="H143" s="31" t="s">
        <v>316</v>
      </c>
      <c r="I143" s="31" t="s">
        <v>316</v>
      </c>
      <c r="J143" s="31" t="s">
        <v>316</v>
      </c>
      <c r="K143" s="31" t="s">
        <v>317</v>
      </c>
      <c r="L143" s="32" t="str">
        <f t="shared" si="10"/>
        <v>EXCLUDE</v>
      </c>
      <c r="M143" s="32" t="str">
        <f t="shared" si="11"/>
        <v>Non-English</v>
      </c>
      <c r="N143" s="33"/>
      <c r="O143" s="33"/>
      <c r="P143" s="34"/>
      <c r="Q143" s="34"/>
      <c r="R143" s="34"/>
      <c r="S143" s="32" t="str">
        <f t="shared" si="12"/>
        <v/>
      </c>
      <c r="T143" s="32" t="str">
        <f t="shared" si="13"/>
        <v/>
      </c>
      <c r="U143" s="35"/>
      <c r="V143" s="35"/>
      <c r="W143" s="35"/>
      <c r="X143" s="35"/>
      <c r="Y143" s="32" t="str">
        <f t="shared" si="14"/>
        <v/>
      </c>
      <c r="Z143" s="35"/>
      <c r="AA143" s="35"/>
      <c r="AB143" s="35"/>
      <c r="AC143" s="35"/>
      <c r="AD143" s="35"/>
      <c r="AE143" s="35"/>
      <c r="AF143" s="35"/>
      <c r="AG143" s="15" t="s">
        <v>459</v>
      </c>
    </row>
    <row r="144" spans="1:33" ht="102.6" x14ac:dyDescent="0.3">
      <c r="A144" s="30">
        <v>3572</v>
      </c>
      <c r="B144" s="9" t="s">
        <v>215</v>
      </c>
      <c r="C144" s="36">
        <v>2022</v>
      </c>
      <c r="D144" s="9"/>
      <c r="E144" s="9" t="s">
        <v>877</v>
      </c>
      <c r="F144" s="30" t="s">
        <v>314</v>
      </c>
      <c r="G144" s="31" t="s">
        <v>316</v>
      </c>
      <c r="H144" s="31" t="s">
        <v>316</v>
      </c>
      <c r="I144" s="31" t="s">
        <v>316</v>
      </c>
      <c r="J144" s="31" t="s">
        <v>316</v>
      </c>
      <c r="K144" s="31" t="s">
        <v>316</v>
      </c>
      <c r="L144" s="32" t="str">
        <f t="shared" si="10"/>
        <v>INCLUDE</v>
      </c>
      <c r="M144" s="32" t="str">
        <f t="shared" si="11"/>
        <v/>
      </c>
      <c r="N144" s="33" t="s">
        <v>49</v>
      </c>
      <c r="O144" s="33" t="s">
        <v>49</v>
      </c>
      <c r="P144" s="34" t="s">
        <v>49</v>
      </c>
      <c r="Q144" s="34" t="s">
        <v>49</v>
      </c>
      <c r="R144" s="34" t="s">
        <v>49</v>
      </c>
      <c r="S144" s="32" t="str">
        <f t="shared" si="12"/>
        <v>INCLUDE</v>
      </c>
      <c r="T144" s="32" t="str">
        <f t="shared" si="13"/>
        <v/>
      </c>
      <c r="U144" s="35" t="s">
        <v>61</v>
      </c>
      <c r="V144" s="35">
        <v>0</v>
      </c>
      <c r="W144" s="35">
        <v>1</v>
      </c>
      <c r="X144" s="35">
        <v>0</v>
      </c>
      <c r="Y144" s="32" t="str">
        <f t="shared" si="14"/>
        <v>Single</v>
      </c>
      <c r="Z144" s="35" t="s">
        <v>9</v>
      </c>
      <c r="AA144" s="35" t="s">
        <v>53</v>
      </c>
      <c r="AB144" s="35" t="s">
        <v>88</v>
      </c>
      <c r="AC144" s="35" t="s">
        <v>64</v>
      </c>
      <c r="AD144" s="35" t="s">
        <v>65</v>
      </c>
      <c r="AE144" s="35">
        <v>4</v>
      </c>
      <c r="AF144" s="35" t="s">
        <v>80</v>
      </c>
      <c r="AG144" s="15" t="s">
        <v>460</v>
      </c>
    </row>
    <row r="145" spans="1:33" ht="22.8" x14ac:dyDescent="0.3">
      <c r="A145" s="30">
        <v>3872</v>
      </c>
      <c r="B145" s="9" t="s">
        <v>217</v>
      </c>
      <c r="C145" s="36">
        <v>2024</v>
      </c>
      <c r="D145" s="9"/>
      <c r="E145" s="9" t="s">
        <v>878</v>
      </c>
      <c r="F145" s="30" t="s">
        <v>314</v>
      </c>
      <c r="G145" s="31" t="s">
        <v>316</v>
      </c>
      <c r="H145" s="31" t="s">
        <v>316</v>
      </c>
      <c r="I145" s="31" t="s">
        <v>316</v>
      </c>
      <c r="J145" s="31" t="s">
        <v>316</v>
      </c>
      <c r="K145" s="31" t="s">
        <v>316</v>
      </c>
      <c r="L145" s="32" t="str">
        <f t="shared" si="10"/>
        <v>INCLUDE</v>
      </c>
      <c r="M145" s="32" t="str">
        <f t="shared" si="11"/>
        <v/>
      </c>
      <c r="N145" s="33" t="s">
        <v>58</v>
      </c>
      <c r="O145" s="33" t="s">
        <v>58</v>
      </c>
      <c r="P145" s="34"/>
      <c r="Q145" s="34"/>
      <c r="R145" s="34"/>
      <c r="S145" s="32" t="str">
        <f t="shared" si="12"/>
        <v/>
      </c>
      <c r="T145" s="32" t="str">
        <f t="shared" si="13"/>
        <v/>
      </c>
      <c r="U145" s="35"/>
      <c r="V145" s="35"/>
      <c r="W145" s="35"/>
      <c r="X145" s="35"/>
      <c r="Y145" s="32" t="str">
        <f t="shared" si="14"/>
        <v/>
      </c>
      <c r="Z145" s="35"/>
      <c r="AA145" s="35"/>
      <c r="AB145" s="35"/>
      <c r="AC145" s="35"/>
      <c r="AD145" s="35"/>
      <c r="AE145" s="35"/>
      <c r="AF145" s="35"/>
      <c r="AG145" s="15" t="s">
        <v>461</v>
      </c>
    </row>
    <row r="146" spans="1:33" ht="22.8" x14ac:dyDescent="0.3">
      <c r="A146" s="30">
        <v>3599</v>
      </c>
      <c r="B146" s="9"/>
      <c r="C146" s="36"/>
      <c r="D146" s="9"/>
      <c r="E146" s="9" t="s">
        <v>879</v>
      </c>
      <c r="F146" s="30" t="s">
        <v>314</v>
      </c>
      <c r="G146" s="31" t="s">
        <v>317</v>
      </c>
      <c r="H146" s="31" t="s">
        <v>317</v>
      </c>
      <c r="I146" s="31" t="s">
        <v>317</v>
      </c>
      <c r="J146" s="31" t="s">
        <v>316</v>
      </c>
      <c r="K146" s="31" t="s">
        <v>316</v>
      </c>
      <c r="L146" s="32" t="str">
        <f t="shared" si="10"/>
        <v>EXCLUDE</v>
      </c>
      <c r="M146" s="32" t="str">
        <f t="shared" si="11"/>
        <v>Wrong domain (non-AECO)</v>
      </c>
      <c r="N146" s="33"/>
      <c r="O146" s="33"/>
      <c r="P146" s="34"/>
      <c r="Q146" s="34"/>
      <c r="R146" s="34"/>
      <c r="S146" s="32" t="str">
        <f t="shared" si="12"/>
        <v/>
      </c>
      <c r="T146" s="32" t="str">
        <f t="shared" si="13"/>
        <v/>
      </c>
      <c r="U146" s="35"/>
      <c r="V146" s="35"/>
      <c r="W146" s="35"/>
      <c r="X146" s="35"/>
      <c r="Y146" s="32" t="str">
        <f t="shared" si="14"/>
        <v/>
      </c>
      <c r="Z146" s="35"/>
      <c r="AA146" s="35"/>
      <c r="AB146" s="35"/>
      <c r="AC146" s="35"/>
      <c r="AD146" s="35"/>
      <c r="AE146" s="35"/>
      <c r="AF146" s="35"/>
      <c r="AG146" s="15" t="s">
        <v>462</v>
      </c>
    </row>
    <row r="147" spans="1:33" ht="22.8" x14ac:dyDescent="0.3">
      <c r="A147" s="30">
        <v>3832</v>
      </c>
      <c r="B147" s="9"/>
      <c r="C147" s="36"/>
      <c r="D147" s="9"/>
      <c r="E147" s="9" t="s">
        <v>880</v>
      </c>
      <c r="F147" s="30" t="s">
        <v>314</v>
      </c>
      <c r="G147" s="31" t="s">
        <v>317</v>
      </c>
      <c r="H147" s="31" t="s">
        <v>316</v>
      </c>
      <c r="I147" s="31" t="s">
        <v>317</v>
      </c>
      <c r="J147" s="31" t="s">
        <v>316</v>
      </c>
      <c r="K147" s="31" t="s">
        <v>317</v>
      </c>
      <c r="L147" s="32" t="str">
        <f t="shared" si="10"/>
        <v>EXCLUDE</v>
      </c>
      <c r="M147" s="32" t="str">
        <f t="shared" si="11"/>
        <v>Wrong domain (non-AECO)</v>
      </c>
      <c r="N147" s="33"/>
      <c r="O147" s="33"/>
      <c r="P147" s="34"/>
      <c r="Q147" s="34"/>
      <c r="R147" s="34"/>
      <c r="S147" s="32" t="str">
        <f t="shared" si="12"/>
        <v/>
      </c>
      <c r="T147" s="32" t="str">
        <f t="shared" si="13"/>
        <v/>
      </c>
      <c r="U147" s="35"/>
      <c r="V147" s="35"/>
      <c r="W147" s="35"/>
      <c r="X147" s="35"/>
      <c r="Y147" s="32" t="str">
        <f t="shared" si="14"/>
        <v/>
      </c>
      <c r="Z147" s="35"/>
      <c r="AA147" s="35"/>
      <c r="AB147" s="35"/>
      <c r="AC147" s="35"/>
      <c r="AD147" s="35"/>
      <c r="AE147" s="35"/>
      <c r="AF147" s="35"/>
      <c r="AG147" s="15" t="s">
        <v>463</v>
      </c>
    </row>
    <row r="148" spans="1:33" ht="22.8" x14ac:dyDescent="0.3">
      <c r="A148" s="30">
        <v>3789</v>
      </c>
      <c r="B148" s="9"/>
      <c r="C148" s="36"/>
      <c r="D148" s="9"/>
      <c r="E148" s="9" t="s">
        <v>881</v>
      </c>
      <c r="F148" s="30" t="s">
        <v>314</v>
      </c>
      <c r="G148" s="31" t="s">
        <v>316</v>
      </c>
      <c r="H148" s="31" t="s">
        <v>317</v>
      </c>
      <c r="I148" s="31" t="s">
        <v>316</v>
      </c>
      <c r="J148" s="31" t="s">
        <v>316</v>
      </c>
      <c r="K148" s="31" t="s">
        <v>316</v>
      </c>
      <c r="L148" s="32" t="str">
        <f t="shared" si="10"/>
        <v>EXCLUDE</v>
      </c>
      <c r="M148" s="32" t="str">
        <f t="shared" si="11"/>
        <v>Digital Twin not core / buzzword</v>
      </c>
      <c r="N148" s="33"/>
      <c r="O148" s="33"/>
      <c r="P148" s="34"/>
      <c r="Q148" s="34"/>
      <c r="R148" s="34"/>
      <c r="S148" s="32" t="str">
        <f t="shared" si="12"/>
        <v/>
      </c>
      <c r="T148" s="32" t="str">
        <f t="shared" si="13"/>
        <v/>
      </c>
      <c r="U148" s="35"/>
      <c r="V148" s="35"/>
      <c r="W148" s="35"/>
      <c r="X148" s="35"/>
      <c r="Y148" s="32" t="str">
        <f t="shared" si="14"/>
        <v/>
      </c>
      <c r="Z148" s="35"/>
      <c r="AA148" s="35"/>
      <c r="AB148" s="35"/>
      <c r="AC148" s="35"/>
      <c r="AD148" s="35"/>
      <c r="AE148" s="35"/>
      <c r="AF148" s="35"/>
      <c r="AG148" s="15" t="s">
        <v>464</v>
      </c>
    </row>
    <row r="149" spans="1:33" ht="22.8" x14ac:dyDescent="0.3">
      <c r="A149" s="30">
        <v>4027</v>
      </c>
      <c r="B149" s="9" t="s">
        <v>218</v>
      </c>
      <c r="C149" s="36">
        <v>2025</v>
      </c>
      <c r="D149" s="9"/>
      <c r="E149" s="9" t="s">
        <v>882</v>
      </c>
      <c r="F149" s="30" t="s">
        <v>315</v>
      </c>
      <c r="G149" s="31" t="s">
        <v>316</v>
      </c>
      <c r="H149" s="31" t="s">
        <v>316</v>
      </c>
      <c r="I149" s="31" t="s">
        <v>316</v>
      </c>
      <c r="J149" s="31" t="s">
        <v>316</v>
      </c>
      <c r="K149" s="31" t="s">
        <v>316</v>
      </c>
      <c r="L149" s="32" t="str">
        <f t="shared" si="10"/>
        <v>INCLUDE</v>
      </c>
      <c r="M149" s="32" t="str">
        <f t="shared" si="11"/>
        <v/>
      </c>
      <c r="N149" s="33" t="s">
        <v>58</v>
      </c>
      <c r="O149" s="33" t="s">
        <v>58</v>
      </c>
      <c r="P149" s="34"/>
      <c r="Q149" s="34"/>
      <c r="R149" s="34"/>
      <c r="S149" s="32" t="str">
        <f t="shared" si="12"/>
        <v/>
      </c>
      <c r="T149" s="32" t="str">
        <f t="shared" si="13"/>
        <v/>
      </c>
      <c r="U149" s="35"/>
      <c r="V149" s="35"/>
      <c r="W149" s="35"/>
      <c r="X149" s="35"/>
      <c r="Y149" s="32" t="str">
        <f t="shared" si="14"/>
        <v/>
      </c>
      <c r="Z149" s="35"/>
      <c r="AA149" s="35"/>
      <c r="AB149" s="35"/>
      <c r="AC149" s="35"/>
      <c r="AD149" s="35"/>
      <c r="AE149" s="35"/>
      <c r="AF149" s="35"/>
      <c r="AG149" s="15" t="s">
        <v>465</v>
      </c>
    </row>
    <row r="150" spans="1:33" ht="22.8" x14ac:dyDescent="0.3">
      <c r="A150" s="30">
        <v>4023</v>
      </c>
      <c r="B150" s="9"/>
      <c r="C150" s="36"/>
      <c r="D150" s="9"/>
      <c r="E150" s="9" t="s">
        <v>883</v>
      </c>
      <c r="F150" s="30" t="s">
        <v>315</v>
      </c>
      <c r="G150" s="31" t="s">
        <v>316</v>
      </c>
      <c r="H150" s="31" t="s">
        <v>317</v>
      </c>
      <c r="I150" s="31" t="s">
        <v>316</v>
      </c>
      <c r="J150" s="31" t="s">
        <v>316</v>
      </c>
      <c r="K150" s="31" t="s">
        <v>316</v>
      </c>
      <c r="L150" s="32" t="str">
        <f t="shared" si="10"/>
        <v>EXCLUDE</v>
      </c>
      <c r="M150" s="32" t="str">
        <f t="shared" si="11"/>
        <v>Digital Twin not core / buzzword</v>
      </c>
      <c r="N150" s="33"/>
      <c r="O150" s="33"/>
      <c r="P150" s="34"/>
      <c r="Q150" s="34"/>
      <c r="R150" s="34"/>
      <c r="S150" s="32" t="str">
        <f t="shared" si="12"/>
        <v/>
      </c>
      <c r="T150" s="32" t="str">
        <f t="shared" si="13"/>
        <v/>
      </c>
      <c r="U150" s="35"/>
      <c r="V150" s="35"/>
      <c r="W150" s="35"/>
      <c r="X150" s="35"/>
      <c r="Y150" s="32" t="str">
        <f t="shared" si="14"/>
        <v/>
      </c>
      <c r="Z150" s="35"/>
      <c r="AA150" s="35"/>
      <c r="AB150" s="35"/>
      <c r="AC150" s="35"/>
      <c r="AD150" s="35"/>
      <c r="AE150" s="35"/>
      <c r="AF150" s="35"/>
      <c r="AG150" s="15" t="s">
        <v>466</v>
      </c>
    </row>
    <row r="151" spans="1:33" ht="22.8" x14ac:dyDescent="0.3">
      <c r="A151" s="30">
        <v>3854</v>
      </c>
      <c r="B151" s="9"/>
      <c r="C151" s="36"/>
      <c r="D151" s="9"/>
      <c r="E151" s="9" t="s">
        <v>884</v>
      </c>
      <c r="F151" s="30" t="s">
        <v>314</v>
      </c>
      <c r="G151" s="31" t="s">
        <v>317</v>
      </c>
      <c r="H151" s="31" t="s">
        <v>316</v>
      </c>
      <c r="I151" s="31" t="s">
        <v>317</v>
      </c>
      <c r="J151" s="31" t="s">
        <v>316</v>
      </c>
      <c r="K151" s="31" t="s">
        <v>316</v>
      </c>
      <c r="L151" s="32" t="str">
        <f t="shared" si="10"/>
        <v>EXCLUDE</v>
      </c>
      <c r="M151" s="32" t="str">
        <f t="shared" si="11"/>
        <v>Wrong domain (non-AECO)</v>
      </c>
      <c r="N151" s="33"/>
      <c r="O151" s="33"/>
      <c r="P151" s="34"/>
      <c r="Q151" s="34"/>
      <c r="R151" s="34"/>
      <c r="S151" s="32" t="str">
        <f t="shared" si="12"/>
        <v/>
      </c>
      <c r="T151" s="32" t="str">
        <f t="shared" si="13"/>
        <v/>
      </c>
      <c r="U151" s="35"/>
      <c r="V151" s="35"/>
      <c r="W151" s="35"/>
      <c r="X151" s="35"/>
      <c r="Y151" s="32" t="str">
        <f t="shared" si="14"/>
        <v/>
      </c>
      <c r="Z151" s="35"/>
      <c r="AA151" s="35"/>
      <c r="AB151" s="35"/>
      <c r="AC151" s="35"/>
      <c r="AD151" s="35"/>
      <c r="AE151" s="35"/>
      <c r="AF151" s="35"/>
      <c r="AG151" s="15" t="s">
        <v>467</v>
      </c>
    </row>
    <row r="152" spans="1:33" ht="22.8" x14ac:dyDescent="0.3">
      <c r="A152" s="30">
        <v>4012</v>
      </c>
      <c r="B152" s="9"/>
      <c r="C152" s="36"/>
      <c r="D152" s="9"/>
      <c r="E152" s="9" t="s">
        <v>885</v>
      </c>
      <c r="F152" s="30" t="s">
        <v>315</v>
      </c>
      <c r="G152" s="31" t="s">
        <v>317</v>
      </c>
      <c r="H152" s="31" t="s">
        <v>317</v>
      </c>
      <c r="I152" s="31" t="s">
        <v>317</v>
      </c>
      <c r="J152" s="31" t="s">
        <v>316</v>
      </c>
      <c r="K152" s="31" t="s">
        <v>316</v>
      </c>
      <c r="L152" s="32" t="str">
        <f t="shared" si="10"/>
        <v>EXCLUDE</v>
      </c>
      <c r="M152" s="32" t="str">
        <f t="shared" si="11"/>
        <v>Wrong domain (non-AECO)</v>
      </c>
      <c r="N152" s="33"/>
      <c r="O152" s="33"/>
      <c r="P152" s="34"/>
      <c r="Q152" s="34"/>
      <c r="R152" s="34"/>
      <c r="S152" s="32" t="str">
        <f t="shared" si="12"/>
        <v/>
      </c>
      <c r="T152" s="32" t="str">
        <f t="shared" si="13"/>
        <v/>
      </c>
      <c r="U152" s="35"/>
      <c r="V152" s="35"/>
      <c r="W152" s="35"/>
      <c r="X152" s="35"/>
      <c r="Y152" s="32" t="str">
        <f t="shared" si="14"/>
        <v/>
      </c>
      <c r="Z152" s="35"/>
      <c r="AA152" s="35"/>
      <c r="AB152" s="35"/>
      <c r="AC152" s="35"/>
      <c r="AD152" s="35"/>
      <c r="AE152" s="35"/>
      <c r="AF152" s="35"/>
      <c r="AG152" s="15" t="s">
        <v>468</v>
      </c>
    </row>
    <row r="153" spans="1:33" ht="22.8" x14ac:dyDescent="0.3">
      <c r="A153" s="30">
        <v>3731</v>
      </c>
      <c r="B153" s="9"/>
      <c r="C153" s="36"/>
      <c r="D153" s="9"/>
      <c r="E153" s="9" t="s">
        <v>886</v>
      </c>
      <c r="F153" s="30" t="s">
        <v>314</v>
      </c>
      <c r="G153" s="31" t="s">
        <v>316</v>
      </c>
      <c r="H153" s="31" t="s">
        <v>317</v>
      </c>
      <c r="I153" s="31" t="s">
        <v>317</v>
      </c>
      <c r="J153" s="31" t="s">
        <v>316</v>
      </c>
      <c r="K153" s="31" t="s">
        <v>316</v>
      </c>
      <c r="L153" s="32" t="str">
        <f t="shared" si="10"/>
        <v>EXCLUDE</v>
      </c>
      <c r="M153" s="32" t="str">
        <f t="shared" si="11"/>
        <v>Digital Twin not core / buzzword</v>
      </c>
      <c r="N153" s="33"/>
      <c r="O153" s="33"/>
      <c r="P153" s="34"/>
      <c r="Q153" s="34"/>
      <c r="R153" s="34"/>
      <c r="S153" s="32" t="str">
        <f t="shared" si="12"/>
        <v/>
      </c>
      <c r="T153" s="32" t="str">
        <f t="shared" si="13"/>
        <v/>
      </c>
      <c r="U153" s="35"/>
      <c r="V153" s="35"/>
      <c r="W153" s="35"/>
      <c r="X153" s="35"/>
      <c r="Y153" s="32" t="str">
        <f t="shared" si="14"/>
        <v/>
      </c>
      <c r="Z153" s="35"/>
      <c r="AA153" s="35"/>
      <c r="AB153" s="35"/>
      <c r="AC153" s="35"/>
      <c r="AD153" s="35"/>
      <c r="AE153" s="35"/>
      <c r="AF153" s="35"/>
      <c r="AG153" s="15" t="s">
        <v>469</v>
      </c>
    </row>
    <row r="154" spans="1:33" ht="22.8" x14ac:dyDescent="0.3">
      <c r="A154" s="30">
        <v>3584</v>
      </c>
      <c r="B154" s="9"/>
      <c r="C154" s="36"/>
      <c r="D154" s="9"/>
      <c r="E154" s="9" t="s">
        <v>887</v>
      </c>
      <c r="F154" s="30" t="s">
        <v>314</v>
      </c>
      <c r="G154" s="31" t="s">
        <v>316</v>
      </c>
      <c r="H154" s="31" t="s">
        <v>316</v>
      </c>
      <c r="I154" s="31" t="s">
        <v>317</v>
      </c>
      <c r="J154" s="31" t="s">
        <v>316</v>
      </c>
      <c r="K154" s="31" t="s">
        <v>316</v>
      </c>
      <c r="L154" s="32" t="str">
        <f t="shared" si="10"/>
        <v>EXCLUDE</v>
      </c>
      <c r="M154" s="32" t="str">
        <f t="shared" si="11"/>
        <v>No Design for Safety/Quality/PtD</v>
      </c>
      <c r="N154" s="33"/>
      <c r="O154" s="33"/>
      <c r="P154" s="34"/>
      <c r="Q154" s="34"/>
      <c r="R154" s="34"/>
      <c r="S154" s="32" t="str">
        <f t="shared" si="12"/>
        <v/>
      </c>
      <c r="T154" s="32" t="str">
        <f t="shared" si="13"/>
        <v/>
      </c>
      <c r="U154" s="35"/>
      <c r="V154" s="35"/>
      <c r="W154" s="35"/>
      <c r="X154" s="35"/>
      <c r="Y154" s="32" t="str">
        <f t="shared" si="14"/>
        <v/>
      </c>
      <c r="Z154" s="35"/>
      <c r="AA154" s="35"/>
      <c r="AB154" s="35"/>
      <c r="AC154" s="35"/>
      <c r="AD154" s="35"/>
      <c r="AE154" s="35"/>
      <c r="AF154" s="35"/>
      <c r="AG154" s="15" t="s">
        <v>470</v>
      </c>
    </row>
    <row r="155" spans="1:33" ht="22.8" x14ac:dyDescent="0.3">
      <c r="A155" s="30">
        <v>4024</v>
      </c>
      <c r="B155" s="9" t="s">
        <v>219</v>
      </c>
      <c r="C155" s="36">
        <v>2022</v>
      </c>
      <c r="D155" s="9"/>
      <c r="E155" s="9" t="s">
        <v>888</v>
      </c>
      <c r="F155" s="30" t="s">
        <v>315</v>
      </c>
      <c r="G155" s="31" t="s">
        <v>316</v>
      </c>
      <c r="H155" s="31" t="s">
        <v>316</v>
      </c>
      <c r="I155" s="31" t="s">
        <v>316</v>
      </c>
      <c r="J155" s="31" t="s">
        <v>316</v>
      </c>
      <c r="K155" s="31" t="s">
        <v>316</v>
      </c>
      <c r="L155" s="32" t="str">
        <f t="shared" si="10"/>
        <v>INCLUDE</v>
      </c>
      <c r="M155" s="32" t="str">
        <f t="shared" si="11"/>
        <v/>
      </c>
      <c r="N155" s="33" t="s">
        <v>58</v>
      </c>
      <c r="O155" s="33" t="s">
        <v>58</v>
      </c>
      <c r="P155" s="34"/>
      <c r="Q155" s="34"/>
      <c r="R155" s="34"/>
      <c r="S155" s="32" t="str">
        <f t="shared" si="12"/>
        <v/>
      </c>
      <c r="T155" s="32" t="str">
        <f t="shared" si="13"/>
        <v/>
      </c>
      <c r="U155" s="35"/>
      <c r="V155" s="35"/>
      <c r="W155" s="35"/>
      <c r="X155" s="35"/>
      <c r="Y155" s="32" t="str">
        <f t="shared" si="14"/>
        <v/>
      </c>
      <c r="Z155" s="35"/>
      <c r="AA155" s="35"/>
      <c r="AB155" s="35"/>
      <c r="AC155" s="35"/>
      <c r="AD155" s="35"/>
      <c r="AE155" s="35"/>
      <c r="AF155" s="35"/>
      <c r="AG155" s="15" t="s">
        <v>471</v>
      </c>
    </row>
    <row r="156" spans="1:33" ht="91.2" x14ac:dyDescent="0.3">
      <c r="A156" s="30">
        <v>3644</v>
      </c>
      <c r="B156" s="9" t="s">
        <v>219</v>
      </c>
      <c r="C156" s="36">
        <v>2022</v>
      </c>
      <c r="D156" s="9"/>
      <c r="E156" s="9" t="s">
        <v>889</v>
      </c>
      <c r="F156" s="30" t="s">
        <v>314</v>
      </c>
      <c r="G156" s="31" t="s">
        <v>316</v>
      </c>
      <c r="H156" s="31" t="s">
        <v>316</v>
      </c>
      <c r="I156" s="31" t="s">
        <v>316</v>
      </c>
      <c r="J156" s="31" t="s">
        <v>316</v>
      </c>
      <c r="K156" s="31" t="s">
        <v>316</v>
      </c>
      <c r="L156" s="32" t="str">
        <f t="shared" si="10"/>
        <v>INCLUDE</v>
      </c>
      <c r="M156" s="32" t="str">
        <f t="shared" si="11"/>
        <v/>
      </c>
      <c r="N156" s="33" t="s">
        <v>49</v>
      </c>
      <c r="O156" s="33" t="s">
        <v>49</v>
      </c>
      <c r="P156" s="34" t="s">
        <v>49</v>
      </c>
      <c r="Q156" s="34" t="s">
        <v>49</v>
      </c>
      <c r="R156" s="34" t="s">
        <v>49</v>
      </c>
      <c r="S156" s="32" t="str">
        <f t="shared" si="12"/>
        <v>INCLUDE</v>
      </c>
      <c r="T156" s="32" t="str">
        <f t="shared" si="13"/>
        <v/>
      </c>
      <c r="U156" s="35" t="s">
        <v>52</v>
      </c>
      <c r="V156" s="35">
        <v>0</v>
      </c>
      <c r="W156" s="35">
        <v>1</v>
      </c>
      <c r="X156" s="35">
        <v>0</v>
      </c>
      <c r="Y156" s="32" t="str">
        <f t="shared" si="14"/>
        <v>Single</v>
      </c>
      <c r="Z156" s="35" t="s">
        <v>9</v>
      </c>
      <c r="AA156" s="35" t="s">
        <v>53</v>
      </c>
      <c r="AB156" s="35" t="s">
        <v>73</v>
      </c>
      <c r="AC156" s="35" t="s">
        <v>64</v>
      </c>
      <c r="AD156" s="35" t="s">
        <v>72</v>
      </c>
      <c r="AE156" s="35">
        <v>4</v>
      </c>
      <c r="AF156" s="35" t="s">
        <v>80</v>
      </c>
      <c r="AG156" s="15" t="s">
        <v>472</v>
      </c>
    </row>
    <row r="157" spans="1:33" ht="22.8" x14ac:dyDescent="0.3">
      <c r="A157" s="30">
        <v>3643</v>
      </c>
      <c r="B157" s="9"/>
      <c r="C157" s="36"/>
      <c r="D157" s="9"/>
      <c r="E157" s="9" t="s">
        <v>890</v>
      </c>
      <c r="F157" s="30" t="s">
        <v>314</v>
      </c>
      <c r="G157" s="31" t="s">
        <v>317</v>
      </c>
      <c r="H157" s="31" t="s">
        <v>316</v>
      </c>
      <c r="I157" s="31" t="s">
        <v>317</v>
      </c>
      <c r="J157" s="31" t="s">
        <v>316</v>
      </c>
      <c r="K157" s="31" t="s">
        <v>316</v>
      </c>
      <c r="L157" s="32" t="str">
        <f t="shared" si="10"/>
        <v>EXCLUDE</v>
      </c>
      <c r="M157" s="32" t="str">
        <f t="shared" si="11"/>
        <v>Wrong domain (non-AECO)</v>
      </c>
      <c r="N157" s="33"/>
      <c r="O157" s="33"/>
      <c r="P157" s="34"/>
      <c r="Q157" s="34"/>
      <c r="R157" s="34"/>
      <c r="S157" s="32" t="str">
        <f t="shared" si="12"/>
        <v/>
      </c>
      <c r="T157" s="32" t="str">
        <f t="shared" si="13"/>
        <v/>
      </c>
      <c r="U157" s="35"/>
      <c r="V157" s="35"/>
      <c r="W157" s="35"/>
      <c r="X157" s="35"/>
      <c r="Y157" s="32" t="str">
        <f t="shared" si="14"/>
        <v/>
      </c>
      <c r="Z157" s="35"/>
      <c r="AA157" s="35"/>
      <c r="AB157" s="35"/>
      <c r="AC157" s="35"/>
      <c r="AD157" s="35"/>
      <c r="AE157" s="35"/>
      <c r="AF157" s="35"/>
      <c r="AG157" s="15" t="s">
        <v>473</v>
      </c>
    </row>
    <row r="158" spans="1:33" ht="22.8" x14ac:dyDescent="0.3">
      <c r="A158" s="30">
        <v>3523</v>
      </c>
      <c r="B158" s="9"/>
      <c r="C158" s="36"/>
      <c r="D158" s="9"/>
      <c r="E158" s="9" t="s">
        <v>891</v>
      </c>
      <c r="F158" s="30" t="s">
        <v>314</v>
      </c>
      <c r="G158" s="31" t="s">
        <v>316</v>
      </c>
      <c r="H158" s="31" t="s">
        <v>317</v>
      </c>
      <c r="I158" s="31" t="s">
        <v>316</v>
      </c>
      <c r="J158" s="31" t="s">
        <v>316</v>
      </c>
      <c r="K158" s="31" t="s">
        <v>317</v>
      </c>
      <c r="L158" s="32" t="str">
        <f t="shared" si="10"/>
        <v>EXCLUDE</v>
      </c>
      <c r="M158" s="32" t="str">
        <f t="shared" si="11"/>
        <v>Digital Twin not core / buzzword</v>
      </c>
      <c r="N158" s="33"/>
      <c r="O158" s="33"/>
      <c r="P158" s="34"/>
      <c r="Q158" s="34"/>
      <c r="R158" s="34"/>
      <c r="S158" s="32" t="str">
        <f t="shared" si="12"/>
        <v/>
      </c>
      <c r="T158" s="32" t="str">
        <f t="shared" si="13"/>
        <v/>
      </c>
      <c r="U158" s="35"/>
      <c r="V158" s="35"/>
      <c r="W158" s="35"/>
      <c r="X158" s="35"/>
      <c r="Y158" s="32" t="str">
        <f t="shared" si="14"/>
        <v/>
      </c>
      <c r="Z158" s="35"/>
      <c r="AA158" s="35"/>
      <c r="AB158" s="35"/>
      <c r="AC158" s="35"/>
      <c r="AD158" s="35"/>
      <c r="AE158" s="35"/>
      <c r="AF158" s="35"/>
      <c r="AG158" s="15" t="s">
        <v>474</v>
      </c>
    </row>
    <row r="159" spans="1:33" ht="91.2" x14ac:dyDescent="0.3">
      <c r="A159" s="30">
        <v>3792</v>
      </c>
      <c r="B159" s="9" t="s">
        <v>220</v>
      </c>
      <c r="C159" s="36">
        <v>2025</v>
      </c>
      <c r="D159" s="9"/>
      <c r="E159" s="9" t="s">
        <v>892</v>
      </c>
      <c r="F159" s="30" t="s">
        <v>314</v>
      </c>
      <c r="G159" s="31" t="s">
        <v>316</v>
      </c>
      <c r="H159" s="31" t="s">
        <v>316</v>
      </c>
      <c r="I159" s="31" t="s">
        <v>316</v>
      </c>
      <c r="J159" s="31" t="s">
        <v>316</v>
      </c>
      <c r="K159" s="31" t="s">
        <v>316</v>
      </c>
      <c r="L159" s="32" t="str">
        <f t="shared" si="10"/>
        <v>INCLUDE</v>
      </c>
      <c r="M159" s="32" t="str">
        <f t="shared" si="11"/>
        <v/>
      </c>
      <c r="N159" s="33" t="s">
        <v>49</v>
      </c>
      <c r="O159" s="33" t="s">
        <v>49</v>
      </c>
      <c r="P159" s="34" t="s">
        <v>49</v>
      </c>
      <c r="Q159" s="34" t="s">
        <v>49</v>
      </c>
      <c r="R159" s="34" t="s">
        <v>49</v>
      </c>
      <c r="S159" s="32" t="str">
        <f t="shared" si="12"/>
        <v>INCLUDE</v>
      </c>
      <c r="T159" s="32" t="str">
        <f t="shared" si="13"/>
        <v/>
      </c>
      <c r="U159" s="35" t="s">
        <v>52</v>
      </c>
      <c r="V159" s="35">
        <v>0</v>
      </c>
      <c r="W159" s="35">
        <v>0</v>
      </c>
      <c r="X159" s="35">
        <v>1</v>
      </c>
      <c r="Y159" s="32" t="str">
        <f t="shared" si="14"/>
        <v>Single</v>
      </c>
      <c r="Z159" s="35" t="s">
        <v>9</v>
      </c>
      <c r="AA159" s="35" t="s">
        <v>53</v>
      </c>
      <c r="AB159" s="35" t="s">
        <v>91</v>
      </c>
      <c r="AC159" s="35" t="s">
        <v>55</v>
      </c>
      <c r="AD159" s="35" t="s">
        <v>72</v>
      </c>
      <c r="AE159" s="35">
        <v>3</v>
      </c>
      <c r="AF159" s="35" t="s">
        <v>80</v>
      </c>
      <c r="AG159" s="15" t="s">
        <v>475</v>
      </c>
    </row>
    <row r="160" spans="1:33" ht="22.8" x14ac:dyDescent="0.3">
      <c r="A160" s="30">
        <v>3608</v>
      </c>
      <c r="B160" s="9"/>
      <c r="C160" s="36"/>
      <c r="D160" s="9"/>
      <c r="E160" s="9" t="s">
        <v>893</v>
      </c>
      <c r="F160" s="30" t="s">
        <v>314</v>
      </c>
      <c r="G160" s="31" t="s">
        <v>317</v>
      </c>
      <c r="H160" s="31" t="s">
        <v>316</v>
      </c>
      <c r="I160" s="31" t="s">
        <v>316</v>
      </c>
      <c r="J160" s="31" t="s">
        <v>316</v>
      </c>
      <c r="K160" s="31" t="s">
        <v>317</v>
      </c>
      <c r="L160" s="32" t="str">
        <f t="shared" si="10"/>
        <v>EXCLUDE</v>
      </c>
      <c r="M160" s="32" t="str">
        <f t="shared" si="11"/>
        <v>Wrong domain (non-AECO)</v>
      </c>
      <c r="N160" s="33"/>
      <c r="O160" s="33"/>
      <c r="P160" s="34"/>
      <c r="Q160" s="34"/>
      <c r="R160" s="34"/>
      <c r="S160" s="32" t="str">
        <f t="shared" si="12"/>
        <v/>
      </c>
      <c r="T160" s="32" t="str">
        <f t="shared" si="13"/>
        <v/>
      </c>
      <c r="U160" s="35"/>
      <c r="V160" s="35"/>
      <c r="W160" s="35"/>
      <c r="X160" s="35"/>
      <c r="Y160" s="32" t="str">
        <f t="shared" si="14"/>
        <v/>
      </c>
      <c r="Z160" s="35"/>
      <c r="AA160" s="35"/>
      <c r="AB160" s="35"/>
      <c r="AC160" s="35"/>
      <c r="AD160" s="35"/>
      <c r="AE160" s="35"/>
      <c r="AF160" s="35"/>
      <c r="AG160" s="15" t="s">
        <v>476</v>
      </c>
    </row>
    <row r="161" spans="1:33" ht="22.8" x14ac:dyDescent="0.3">
      <c r="A161" s="30">
        <v>4008</v>
      </c>
      <c r="B161" s="9"/>
      <c r="C161" s="36"/>
      <c r="D161" s="9"/>
      <c r="E161" s="9" t="s">
        <v>894</v>
      </c>
      <c r="F161" s="30" t="s">
        <v>315</v>
      </c>
      <c r="G161" s="31" t="s">
        <v>316</v>
      </c>
      <c r="H161" s="31" t="s">
        <v>317</v>
      </c>
      <c r="I161" s="31" t="s">
        <v>317</v>
      </c>
      <c r="J161" s="31" t="s">
        <v>316</v>
      </c>
      <c r="K161" s="31" t="s">
        <v>316</v>
      </c>
      <c r="L161" s="32" t="str">
        <f t="shared" si="10"/>
        <v>EXCLUDE</v>
      </c>
      <c r="M161" s="32" t="str">
        <f t="shared" si="11"/>
        <v>Digital Twin not core / buzzword</v>
      </c>
      <c r="N161" s="33"/>
      <c r="O161" s="33"/>
      <c r="P161" s="34"/>
      <c r="Q161" s="34"/>
      <c r="R161" s="34"/>
      <c r="S161" s="32" t="str">
        <f t="shared" si="12"/>
        <v/>
      </c>
      <c r="T161" s="32" t="str">
        <f t="shared" si="13"/>
        <v/>
      </c>
      <c r="U161" s="35"/>
      <c r="V161" s="35"/>
      <c r="W161" s="35"/>
      <c r="X161" s="35"/>
      <c r="Y161" s="32" t="str">
        <f t="shared" si="14"/>
        <v/>
      </c>
      <c r="Z161" s="35"/>
      <c r="AA161" s="35"/>
      <c r="AB161" s="35"/>
      <c r="AC161" s="35"/>
      <c r="AD161" s="35"/>
      <c r="AE161" s="35"/>
      <c r="AF161" s="35"/>
      <c r="AG161" s="15" t="s">
        <v>477</v>
      </c>
    </row>
    <row r="162" spans="1:33" ht="22.8" x14ac:dyDescent="0.3">
      <c r="A162" s="30">
        <v>3750</v>
      </c>
      <c r="B162" s="9"/>
      <c r="C162" s="36"/>
      <c r="D162" s="9"/>
      <c r="E162" s="9" t="s">
        <v>895</v>
      </c>
      <c r="F162" s="30" t="s">
        <v>314</v>
      </c>
      <c r="G162" s="31" t="s">
        <v>317</v>
      </c>
      <c r="H162" s="31" t="s">
        <v>316</v>
      </c>
      <c r="I162" s="31" t="s">
        <v>316</v>
      </c>
      <c r="J162" s="31" t="s">
        <v>316</v>
      </c>
      <c r="K162" s="31" t="s">
        <v>316</v>
      </c>
      <c r="L162" s="32" t="str">
        <f t="shared" si="10"/>
        <v>EXCLUDE</v>
      </c>
      <c r="M162" s="32" t="str">
        <f t="shared" si="11"/>
        <v>Wrong domain (non-AECO)</v>
      </c>
      <c r="N162" s="33"/>
      <c r="O162" s="33"/>
      <c r="P162" s="34"/>
      <c r="Q162" s="34"/>
      <c r="R162" s="34"/>
      <c r="S162" s="32" t="str">
        <f t="shared" si="12"/>
        <v/>
      </c>
      <c r="T162" s="32" t="str">
        <f t="shared" si="13"/>
        <v/>
      </c>
      <c r="U162" s="35"/>
      <c r="V162" s="35"/>
      <c r="W162" s="35"/>
      <c r="X162" s="35"/>
      <c r="Y162" s="32" t="str">
        <f t="shared" si="14"/>
        <v/>
      </c>
      <c r="Z162" s="35"/>
      <c r="AA162" s="35"/>
      <c r="AB162" s="35"/>
      <c r="AC162" s="35"/>
      <c r="AD162" s="35"/>
      <c r="AE162" s="35"/>
      <c r="AF162" s="35"/>
      <c r="AG162" s="15" t="s">
        <v>478</v>
      </c>
    </row>
    <row r="163" spans="1:33" ht="68.400000000000006" x14ac:dyDescent="0.3">
      <c r="A163" s="30">
        <v>3604</v>
      </c>
      <c r="B163" s="9" t="s">
        <v>221</v>
      </c>
      <c r="C163" s="36">
        <v>2025</v>
      </c>
      <c r="D163" s="9"/>
      <c r="E163" s="9" t="s">
        <v>896</v>
      </c>
      <c r="F163" s="30" t="s">
        <v>314</v>
      </c>
      <c r="G163" s="31" t="s">
        <v>316</v>
      </c>
      <c r="H163" s="31" t="s">
        <v>316</v>
      </c>
      <c r="I163" s="31" t="s">
        <v>316</v>
      </c>
      <c r="J163" s="31" t="s">
        <v>316</v>
      </c>
      <c r="K163" s="31" t="s">
        <v>316</v>
      </c>
      <c r="L163" s="32" t="str">
        <f t="shared" si="10"/>
        <v>INCLUDE</v>
      </c>
      <c r="M163" s="32" t="str">
        <f t="shared" si="11"/>
        <v/>
      </c>
      <c r="N163" s="33" t="s">
        <v>49</v>
      </c>
      <c r="O163" s="33" t="s">
        <v>49</v>
      </c>
      <c r="P163" s="34" t="s">
        <v>58</v>
      </c>
      <c r="Q163" s="34" t="s">
        <v>49</v>
      </c>
      <c r="R163" s="34" t="s">
        <v>58</v>
      </c>
      <c r="S163" s="32" t="str">
        <f t="shared" si="12"/>
        <v>EXCLUDE</v>
      </c>
      <c r="T163" s="32" t="str">
        <f t="shared" si="13"/>
        <v>Digital Twin mentioned only, not the subject</v>
      </c>
      <c r="U163" s="35" t="s">
        <v>82</v>
      </c>
      <c r="V163" s="35"/>
      <c r="W163" s="35"/>
      <c r="X163" s="35"/>
      <c r="Y163" s="32" t="str">
        <f t="shared" si="14"/>
        <v/>
      </c>
      <c r="Z163" s="35"/>
      <c r="AA163" s="35"/>
      <c r="AB163" s="35"/>
      <c r="AC163" s="35"/>
      <c r="AD163" s="35"/>
      <c r="AE163" s="35"/>
      <c r="AF163" s="35"/>
      <c r="AG163" s="15" t="s">
        <v>479</v>
      </c>
    </row>
    <row r="164" spans="1:33" ht="91.2" x14ac:dyDescent="0.3">
      <c r="A164" s="30">
        <v>3517</v>
      </c>
      <c r="B164" s="9" t="s">
        <v>222</v>
      </c>
      <c r="C164" s="36">
        <v>2023</v>
      </c>
      <c r="D164" s="9"/>
      <c r="E164" s="9" t="s">
        <v>897</v>
      </c>
      <c r="F164" s="30" t="s">
        <v>314</v>
      </c>
      <c r="G164" s="31" t="s">
        <v>316</v>
      </c>
      <c r="H164" s="31" t="s">
        <v>316</v>
      </c>
      <c r="I164" s="31" t="s">
        <v>316</v>
      </c>
      <c r="J164" s="31" t="s">
        <v>316</v>
      </c>
      <c r="K164" s="31" t="s">
        <v>316</v>
      </c>
      <c r="L164" s="32" t="str">
        <f t="shared" si="10"/>
        <v>INCLUDE</v>
      </c>
      <c r="M164" s="32" t="str">
        <f t="shared" si="11"/>
        <v/>
      </c>
      <c r="N164" s="33" t="s">
        <v>49</v>
      </c>
      <c r="O164" s="33" t="s">
        <v>49</v>
      </c>
      <c r="P164" s="34" t="s">
        <v>49</v>
      </c>
      <c r="Q164" s="34" t="s">
        <v>49</v>
      </c>
      <c r="R164" s="34" t="s">
        <v>49</v>
      </c>
      <c r="S164" s="32" t="str">
        <f t="shared" si="12"/>
        <v>INCLUDE</v>
      </c>
      <c r="T164" s="32" t="str">
        <f t="shared" si="13"/>
        <v/>
      </c>
      <c r="U164" s="35" t="s">
        <v>61</v>
      </c>
      <c r="V164" s="35">
        <v>0</v>
      </c>
      <c r="W164" s="35">
        <v>0</v>
      </c>
      <c r="X164" s="35">
        <v>1</v>
      </c>
      <c r="Y164" s="32" t="str">
        <f t="shared" si="14"/>
        <v>Single</v>
      </c>
      <c r="Z164" s="35" t="s">
        <v>9</v>
      </c>
      <c r="AA164" s="35" t="s">
        <v>53</v>
      </c>
      <c r="AB164" s="35" t="s">
        <v>91</v>
      </c>
      <c r="AC164" s="35" t="s">
        <v>64</v>
      </c>
      <c r="AD164" s="35" t="s">
        <v>72</v>
      </c>
      <c r="AE164" s="35">
        <v>4</v>
      </c>
      <c r="AF164" s="35" t="s">
        <v>80</v>
      </c>
      <c r="AG164" s="15" t="s">
        <v>480</v>
      </c>
    </row>
    <row r="165" spans="1:33" ht="22.8" x14ac:dyDescent="0.3">
      <c r="A165" s="30">
        <v>3883</v>
      </c>
      <c r="B165" s="9"/>
      <c r="C165" s="36"/>
      <c r="D165" s="9"/>
      <c r="E165" s="9" t="s">
        <v>898</v>
      </c>
      <c r="F165" s="30" t="s">
        <v>315</v>
      </c>
      <c r="G165" s="31" t="s">
        <v>316</v>
      </c>
      <c r="H165" s="31" t="s">
        <v>317</v>
      </c>
      <c r="I165" s="31" t="s">
        <v>316</v>
      </c>
      <c r="J165" s="31" t="s">
        <v>316</v>
      </c>
      <c r="K165" s="31" t="s">
        <v>316</v>
      </c>
      <c r="L165" s="32" t="str">
        <f t="shared" si="10"/>
        <v>EXCLUDE</v>
      </c>
      <c r="M165" s="32" t="str">
        <f t="shared" si="11"/>
        <v>Digital Twin not core / buzzword</v>
      </c>
      <c r="N165" s="33"/>
      <c r="O165" s="33"/>
      <c r="P165" s="34"/>
      <c r="Q165" s="34"/>
      <c r="R165" s="34"/>
      <c r="S165" s="32" t="str">
        <f t="shared" si="12"/>
        <v/>
      </c>
      <c r="T165" s="32" t="str">
        <f t="shared" si="13"/>
        <v/>
      </c>
      <c r="U165" s="35"/>
      <c r="V165" s="35"/>
      <c r="W165" s="35"/>
      <c r="X165" s="35"/>
      <c r="Y165" s="32" t="str">
        <f t="shared" si="14"/>
        <v/>
      </c>
      <c r="Z165" s="35"/>
      <c r="AA165" s="35"/>
      <c r="AB165" s="35"/>
      <c r="AC165" s="35"/>
      <c r="AD165" s="35"/>
      <c r="AE165" s="35"/>
      <c r="AF165" s="35"/>
      <c r="AG165" s="15" t="s">
        <v>481</v>
      </c>
    </row>
    <row r="166" spans="1:33" ht="91.2" x14ac:dyDescent="0.3">
      <c r="A166" s="30">
        <v>3916</v>
      </c>
      <c r="B166" s="9" t="s">
        <v>223</v>
      </c>
      <c r="C166" s="36">
        <v>2023</v>
      </c>
      <c r="D166" s="9"/>
      <c r="E166" s="9" t="s">
        <v>899</v>
      </c>
      <c r="F166" s="30" t="s">
        <v>315</v>
      </c>
      <c r="G166" s="31" t="s">
        <v>316</v>
      </c>
      <c r="H166" s="31" t="s">
        <v>316</v>
      </c>
      <c r="I166" s="31" t="s">
        <v>316</v>
      </c>
      <c r="J166" s="31" t="s">
        <v>316</v>
      </c>
      <c r="K166" s="31" t="s">
        <v>316</v>
      </c>
      <c r="L166" s="32" t="str">
        <f t="shared" si="10"/>
        <v>INCLUDE</v>
      </c>
      <c r="M166" s="32" t="str">
        <f t="shared" si="11"/>
        <v/>
      </c>
      <c r="N166" s="33" t="s">
        <v>49</v>
      </c>
      <c r="O166" s="33" t="s">
        <v>49</v>
      </c>
      <c r="P166" s="34" t="s">
        <v>49</v>
      </c>
      <c r="Q166" s="34" t="s">
        <v>49</v>
      </c>
      <c r="R166" s="34" t="s">
        <v>49</v>
      </c>
      <c r="S166" s="32" t="str">
        <f t="shared" si="12"/>
        <v>INCLUDE</v>
      </c>
      <c r="T166" s="32" t="str">
        <f t="shared" si="13"/>
        <v/>
      </c>
      <c r="U166" s="35" t="s">
        <v>61</v>
      </c>
      <c r="V166" s="35">
        <v>0</v>
      </c>
      <c r="W166" s="35">
        <v>0</v>
      </c>
      <c r="X166" s="35">
        <v>1</v>
      </c>
      <c r="Y166" s="32" t="str">
        <f t="shared" si="14"/>
        <v>Single</v>
      </c>
      <c r="Z166" s="35" t="s">
        <v>9</v>
      </c>
      <c r="AA166" s="35" t="s">
        <v>62</v>
      </c>
      <c r="AB166" s="35" t="s">
        <v>88</v>
      </c>
      <c r="AC166" s="35" t="s">
        <v>55</v>
      </c>
      <c r="AD166" s="35" t="s">
        <v>65</v>
      </c>
      <c r="AE166" s="35">
        <v>4</v>
      </c>
      <c r="AF166" s="35" t="s">
        <v>84</v>
      </c>
      <c r="AG166" s="15" t="s">
        <v>482</v>
      </c>
    </row>
    <row r="167" spans="1:33" ht="22.8" x14ac:dyDescent="0.3">
      <c r="A167" s="30">
        <v>3548</v>
      </c>
      <c r="B167" s="9"/>
      <c r="C167" s="36"/>
      <c r="D167" s="9"/>
      <c r="E167" s="9" t="s">
        <v>900</v>
      </c>
      <c r="F167" s="30" t="s">
        <v>314</v>
      </c>
      <c r="G167" s="31" t="s">
        <v>316</v>
      </c>
      <c r="H167" s="31" t="s">
        <v>317</v>
      </c>
      <c r="I167" s="31" t="s">
        <v>316</v>
      </c>
      <c r="J167" s="31" t="s">
        <v>316</v>
      </c>
      <c r="K167" s="31" t="s">
        <v>316</v>
      </c>
      <c r="L167" s="32" t="str">
        <f t="shared" si="10"/>
        <v>EXCLUDE</v>
      </c>
      <c r="M167" s="32" t="str">
        <f t="shared" si="11"/>
        <v>Digital Twin not core / buzzword</v>
      </c>
      <c r="N167" s="33"/>
      <c r="O167" s="33"/>
      <c r="P167" s="34"/>
      <c r="Q167" s="34"/>
      <c r="R167" s="34"/>
      <c r="S167" s="32" t="str">
        <f t="shared" si="12"/>
        <v/>
      </c>
      <c r="T167" s="32" t="str">
        <f t="shared" si="13"/>
        <v/>
      </c>
      <c r="U167" s="35"/>
      <c r="V167" s="35"/>
      <c r="W167" s="35"/>
      <c r="X167" s="35"/>
      <c r="Y167" s="32" t="str">
        <f t="shared" si="14"/>
        <v/>
      </c>
      <c r="Z167" s="35"/>
      <c r="AA167" s="35"/>
      <c r="AB167" s="35"/>
      <c r="AC167" s="35"/>
      <c r="AD167" s="35"/>
      <c r="AE167" s="35"/>
      <c r="AF167" s="35"/>
      <c r="AG167" s="15" t="s">
        <v>483</v>
      </c>
    </row>
    <row r="168" spans="1:33" ht="22.8" x14ac:dyDescent="0.3">
      <c r="A168" s="30">
        <v>3938</v>
      </c>
      <c r="B168" s="9" t="s">
        <v>224</v>
      </c>
      <c r="C168" s="36">
        <v>2024</v>
      </c>
      <c r="D168" s="9"/>
      <c r="E168" s="9" t="s">
        <v>901</v>
      </c>
      <c r="F168" s="30" t="s">
        <v>315</v>
      </c>
      <c r="G168" s="31" t="s">
        <v>316</v>
      </c>
      <c r="H168" s="31" t="s">
        <v>316</v>
      </c>
      <c r="I168" s="31" t="s">
        <v>316</v>
      </c>
      <c r="J168" s="31" t="s">
        <v>316</v>
      </c>
      <c r="K168" s="31" t="s">
        <v>316</v>
      </c>
      <c r="L168" s="32" t="str">
        <f t="shared" si="10"/>
        <v>INCLUDE</v>
      </c>
      <c r="M168" s="32" t="str">
        <f t="shared" si="11"/>
        <v/>
      </c>
      <c r="N168" s="33" t="s">
        <v>58</v>
      </c>
      <c r="O168" s="33" t="s">
        <v>58</v>
      </c>
      <c r="P168" s="34"/>
      <c r="Q168" s="34"/>
      <c r="R168" s="34"/>
      <c r="S168" s="32" t="str">
        <f t="shared" si="12"/>
        <v/>
      </c>
      <c r="T168" s="32" t="str">
        <f t="shared" si="13"/>
        <v/>
      </c>
      <c r="U168" s="35"/>
      <c r="V168" s="35"/>
      <c r="W168" s="35"/>
      <c r="X168" s="35"/>
      <c r="Y168" s="32" t="str">
        <f t="shared" si="14"/>
        <v/>
      </c>
      <c r="Z168" s="35"/>
      <c r="AA168" s="35"/>
      <c r="AB168" s="35"/>
      <c r="AC168" s="35"/>
      <c r="AD168" s="35"/>
      <c r="AE168" s="35"/>
      <c r="AF168" s="35"/>
      <c r="AG168" s="15" t="s">
        <v>484</v>
      </c>
    </row>
    <row r="169" spans="1:33" ht="22.8" x14ac:dyDescent="0.3">
      <c r="A169" s="30">
        <v>3999</v>
      </c>
      <c r="B169" s="9" t="s">
        <v>224</v>
      </c>
      <c r="C169" s="36">
        <v>2024</v>
      </c>
      <c r="D169" s="9"/>
      <c r="E169" s="9" t="s">
        <v>902</v>
      </c>
      <c r="F169" s="30" t="s">
        <v>315</v>
      </c>
      <c r="G169" s="31" t="s">
        <v>316</v>
      </c>
      <c r="H169" s="31" t="s">
        <v>316</v>
      </c>
      <c r="I169" s="31" t="s">
        <v>316</v>
      </c>
      <c r="J169" s="31" t="s">
        <v>316</v>
      </c>
      <c r="K169" s="31" t="s">
        <v>316</v>
      </c>
      <c r="L169" s="32" t="str">
        <f t="shared" si="10"/>
        <v>INCLUDE</v>
      </c>
      <c r="M169" s="32" t="str">
        <f t="shared" si="11"/>
        <v/>
      </c>
      <c r="N169" s="33" t="s">
        <v>58</v>
      </c>
      <c r="O169" s="33" t="s">
        <v>58</v>
      </c>
      <c r="P169" s="34"/>
      <c r="Q169" s="34"/>
      <c r="R169" s="34"/>
      <c r="S169" s="32" t="str">
        <f t="shared" si="12"/>
        <v/>
      </c>
      <c r="T169" s="32" t="str">
        <f t="shared" si="13"/>
        <v/>
      </c>
      <c r="U169" s="35"/>
      <c r="V169" s="35"/>
      <c r="W169" s="35"/>
      <c r="X169" s="35"/>
      <c r="Y169" s="32" t="str">
        <f t="shared" si="14"/>
        <v/>
      </c>
      <c r="Z169" s="35"/>
      <c r="AA169" s="35"/>
      <c r="AB169" s="35"/>
      <c r="AC169" s="35"/>
      <c r="AD169" s="35"/>
      <c r="AE169" s="35"/>
      <c r="AF169" s="35"/>
      <c r="AG169" s="15" t="s">
        <v>485</v>
      </c>
    </row>
    <row r="170" spans="1:33" ht="22.8" x14ac:dyDescent="0.3">
      <c r="A170" s="30">
        <v>3808</v>
      </c>
      <c r="B170" s="9"/>
      <c r="C170" s="36"/>
      <c r="D170" s="9"/>
      <c r="E170" s="9" t="s">
        <v>903</v>
      </c>
      <c r="F170" s="30" t="s">
        <v>314</v>
      </c>
      <c r="G170" s="31" t="s">
        <v>317</v>
      </c>
      <c r="H170" s="31" t="s">
        <v>316</v>
      </c>
      <c r="I170" s="31" t="s">
        <v>316</v>
      </c>
      <c r="J170" s="31" t="s">
        <v>316</v>
      </c>
      <c r="K170" s="31" t="s">
        <v>316</v>
      </c>
      <c r="L170" s="32" t="str">
        <f t="shared" si="10"/>
        <v>EXCLUDE</v>
      </c>
      <c r="M170" s="32" t="str">
        <f t="shared" si="11"/>
        <v>Wrong domain (non-AECO)</v>
      </c>
      <c r="N170" s="33"/>
      <c r="O170" s="33"/>
      <c r="P170" s="34"/>
      <c r="Q170" s="34"/>
      <c r="R170" s="34"/>
      <c r="S170" s="32" t="str">
        <f t="shared" si="12"/>
        <v/>
      </c>
      <c r="T170" s="32" t="str">
        <f t="shared" si="13"/>
        <v/>
      </c>
      <c r="U170" s="35"/>
      <c r="V170" s="35"/>
      <c r="W170" s="35"/>
      <c r="X170" s="35"/>
      <c r="Y170" s="32" t="str">
        <f t="shared" si="14"/>
        <v/>
      </c>
      <c r="Z170" s="35"/>
      <c r="AA170" s="35"/>
      <c r="AB170" s="35"/>
      <c r="AC170" s="35"/>
      <c r="AD170" s="35"/>
      <c r="AE170" s="35"/>
      <c r="AF170" s="35"/>
      <c r="AG170" s="15" t="s">
        <v>486</v>
      </c>
    </row>
    <row r="171" spans="1:33" ht="22.8" x14ac:dyDescent="0.3">
      <c r="A171" s="30">
        <v>3827</v>
      </c>
      <c r="B171" s="9"/>
      <c r="C171" s="36"/>
      <c r="D171" s="9"/>
      <c r="E171" s="9" t="s">
        <v>904</v>
      </c>
      <c r="F171" s="30" t="s">
        <v>314</v>
      </c>
      <c r="G171" s="31" t="s">
        <v>316</v>
      </c>
      <c r="H171" s="31" t="s">
        <v>316</v>
      </c>
      <c r="I171" s="31" t="s">
        <v>317</v>
      </c>
      <c r="J171" s="31" t="s">
        <v>316</v>
      </c>
      <c r="K171" s="31" t="s">
        <v>317</v>
      </c>
      <c r="L171" s="32" t="str">
        <f t="shared" si="10"/>
        <v>EXCLUDE</v>
      </c>
      <c r="M171" s="32" t="str">
        <f t="shared" si="11"/>
        <v>No Design for Safety/Quality/PtD</v>
      </c>
      <c r="N171" s="33"/>
      <c r="O171" s="33"/>
      <c r="P171" s="34"/>
      <c r="Q171" s="34"/>
      <c r="R171" s="34"/>
      <c r="S171" s="32" t="str">
        <f t="shared" si="12"/>
        <v/>
      </c>
      <c r="T171" s="32" t="str">
        <f t="shared" si="13"/>
        <v/>
      </c>
      <c r="U171" s="35"/>
      <c r="V171" s="35"/>
      <c r="W171" s="35"/>
      <c r="X171" s="35"/>
      <c r="Y171" s="32" t="str">
        <f t="shared" si="14"/>
        <v/>
      </c>
      <c r="Z171" s="35"/>
      <c r="AA171" s="35"/>
      <c r="AB171" s="35"/>
      <c r="AC171" s="35"/>
      <c r="AD171" s="35"/>
      <c r="AE171" s="35"/>
      <c r="AF171" s="35"/>
      <c r="AG171" s="15" t="s">
        <v>487</v>
      </c>
    </row>
    <row r="172" spans="1:33" ht="22.8" x14ac:dyDescent="0.3">
      <c r="A172" s="30">
        <v>3738</v>
      </c>
      <c r="B172" s="9"/>
      <c r="C172" s="36"/>
      <c r="D172" s="9"/>
      <c r="E172" s="9" t="s">
        <v>905</v>
      </c>
      <c r="F172" s="30" t="s">
        <v>314</v>
      </c>
      <c r="G172" s="31" t="s">
        <v>317</v>
      </c>
      <c r="H172" s="31" t="s">
        <v>317</v>
      </c>
      <c r="I172" s="31" t="s">
        <v>316</v>
      </c>
      <c r="J172" s="31" t="s">
        <v>316</v>
      </c>
      <c r="K172" s="31" t="s">
        <v>316</v>
      </c>
      <c r="L172" s="32" t="str">
        <f t="shared" si="10"/>
        <v>EXCLUDE</v>
      </c>
      <c r="M172" s="32" t="str">
        <f t="shared" si="11"/>
        <v>Wrong domain (non-AECO)</v>
      </c>
      <c r="N172" s="33"/>
      <c r="O172" s="33"/>
      <c r="P172" s="34"/>
      <c r="Q172" s="34"/>
      <c r="R172" s="34"/>
      <c r="S172" s="32" t="str">
        <f t="shared" si="12"/>
        <v/>
      </c>
      <c r="T172" s="32" t="str">
        <f t="shared" si="13"/>
        <v/>
      </c>
      <c r="U172" s="35"/>
      <c r="V172" s="35"/>
      <c r="W172" s="35"/>
      <c r="X172" s="35"/>
      <c r="Y172" s="32" t="str">
        <f t="shared" si="14"/>
        <v/>
      </c>
      <c r="Z172" s="35"/>
      <c r="AA172" s="35"/>
      <c r="AB172" s="35"/>
      <c r="AC172" s="35"/>
      <c r="AD172" s="35"/>
      <c r="AE172" s="35"/>
      <c r="AF172" s="35"/>
      <c r="AG172" s="15" t="s">
        <v>488</v>
      </c>
    </row>
    <row r="173" spans="1:33" ht="22.8" x14ac:dyDescent="0.3">
      <c r="A173" s="30">
        <v>3897</v>
      </c>
      <c r="B173" s="9"/>
      <c r="C173" s="36"/>
      <c r="D173" s="9"/>
      <c r="E173" s="9" t="s">
        <v>906</v>
      </c>
      <c r="F173" s="30" t="s">
        <v>315</v>
      </c>
      <c r="G173" s="31" t="s">
        <v>316</v>
      </c>
      <c r="H173" s="31" t="s">
        <v>316</v>
      </c>
      <c r="I173" s="31" t="s">
        <v>317</v>
      </c>
      <c r="J173" s="31" t="s">
        <v>316</v>
      </c>
      <c r="K173" s="31" t="s">
        <v>316</v>
      </c>
      <c r="L173" s="32" t="str">
        <f t="shared" si="10"/>
        <v>EXCLUDE</v>
      </c>
      <c r="M173" s="32" t="str">
        <f t="shared" si="11"/>
        <v>No Design for Safety/Quality/PtD</v>
      </c>
      <c r="N173" s="33"/>
      <c r="O173" s="33"/>
      <c r="P173" s="34"/>
      <c r="Q173" s="34"/>
      <c r="R173" s="34"/>
      <c r="S173" s="32" t="str">
        <f t="shared" si="12"/>
        <v/>
      </c>
      <c r="T173" s="32" t="str">
        <f t="shared" si="13"/>
        <v/>
      </c>
      <c r="U173" s="35"/>
      <c r="V173" s="35"/>
      <c r="W173" s="35"/>
      <c r="X173" s="35"/>
      <c r="Y173" s="32" t="str">
        <f t="shared" si="14"/>
        <v/>
      </c>
      <c r="Z173" s="35"/>
      <c r="AA173" s="35"/>
      <c r="AB173" s="35"/>
      <c r="AC173" s="35"/>
      <c r="AD173" s="35"/>
      <c r="AE173" s="35"/>
      <c r="AF173" s="35"/>
      <c r="AG173" s="15" t="s">
        <v>489</v>
      </c>
    </row>
    <row r="174" spans="1:33" ht="22.8" x14ac:dyDescent="0.3">
      <c r="A174" s="30">
        <v>3859</v>
      </c>
      <c r="B174" s="9"/>
      <c r="C174" s="36"/>
      <c r="D174" s="9"/>
      <c r="E174" s="9" t="s">
        <v>907</v>
      </c>
      <c r="F174" s="30" t="s">
        <v>314</v>
      </c>
      <c r="G174" s="31" t="s">
        <v>316</v>
      </c>
      <c r="H174" s="31" t="s">
        <v>317</v>
      </c>
      <c r="I174" s="31" t="s">
        <v>316</v>
      </c>
      <c r="J174" s="31" t="s">
        <v>316</v>
      </c>
      <c r="K174" s="31" t="s">
        <v>317</v>
      </c>
      <c r="L174" s="32" t="str">
        <f t="shared" si="10"/>
        <v>EXCLUDE</v>
      </c>
      <c r="M174" s="32" t="str">
        <f t="shared" si="11"/>
        <v>Digital Twin not core / buzzword</v>
      </c>
      <c r="N174" s="33"/>
      <c r="O174" s="33"/>
      <c r="P174" s="34"/>
      <c r="Q174" s="34"/>
      <c r="R174" s="34"/>
      <c r="S174" s="32" t="str">
        <f t="shared" si="12"/>
        <v/>
      </c>
      <c r="T174" s="32" t="str">
        <f t="shared" si="13"/>
        <v/>
      </c>
      <c r="U174" s="35"/>
      <c r="V174" s="35"/>
      <c r="W174" s="35"/>
      <c r="X174" s="35"/>
      <c r="Y174" s="32" t="str">
        <f t="shared" si="14"/>
        <v/>
      </c>
      <c r="Z174" s="35"/>
      <c r="AA174" s="35"/>
      <c r="AB174" s="35"/>
      <c r="AC174" s="35"/>
      <c r="AD174" s="35"/>
      <c r="AE174" s="35"/>
      <c r="AF174" s="35"/>
      <c r="AG174" s="15" t="s">
        <v>490</v>
      </c>
    </row>
    <row r="175" spans="1:33" x14ac:dyDescent="0.3">
      <c r="A175" s="30">
        <v>3507</v>
      </c>
      <c r="B175" s="9"/>
      <c r="C175" s="36"/>
      <c r="D175" s="9"/>
      <c r="E175" s="9" t="s">
        <v>908</v>
      </c>
      <c r="F175" s="30" t="s">
        <v>314</v>
      </c>
      <c r="G175" s="31" t="s">
        <v>316</v>
      </c>
      <c r="H175" s="31" t="s">
        <v>317</v>
      </c>
      <c r="I175" s="31" t="s">
        <v>316</v>
      </c>
      <c r="J175" s="31" t="s">
        <v>316</v>
      </c>
      <c r="K175" s="31" t="s">
        <v>316</v>
      </c>
      <c r="L175" s="32" t="str">
        <f t="shared" si="10"/>
        <v>EXCLUDE</v>
      </c>
      <c r="M175" s="32" t="str">
        <f t="shared" si="11"/>
        <v>Digital Twin not core / buzzword</v>
      </c>
      <c r="N175" s="33"/>
      <c r="O175" s="33"/>
      <c r="P175" s="34"/>
      <c r="Q175" s="34"/>
      <c r="R175" s="34"/>
      <c r="S175" s="32" t="str">
        <f t="shared" si="12"/>
        <v/>
      </c>
      <c r="T175" s="32" t="str">
        <f t="shared" si="13"/>
        <v/>
      </c>
      <c r="U175" s="35"/>
      <c r="V175" s="35"/>
      <c r="W175" s="35"/>
      <c r="X175" s="35"/>
      <c r="Y175" s="32" t="str">
        <f t="shared" si="14"/>
        <v/>
      </c>
      <c r="Z175" s="35"/>
      <c r="AA175" s="35"/>
      <c r="AB175" s="35"/>
      <c r="AC175" s="35"/>
      <c r="AD175" s="35"/>
      <c r="AE175" s="35"/>
      <c r="AF175" s="35"/>
      <c r="AG175" s="15" t="s">
        <v>491</v>
      </c>
    </row>
    <row r="176" spans="1:33" ht="22.8" x14ac:dyDescent="0.3">
      <c r="A176" s="30">
        <v>4051</v>
      </c>
      <c r="B176" s="9"/>
      <c r="C176" s="36"/>
      <c r="D176" s="9"/>
      <c r="E176" s="9" t="s">
        <v>909</v>
      </c>
      <c r="F176" s="30" t="s">
        <v>315</v>
      </c>
      <c r="G176" s="31" t="s">
        <v>316</v>
      </c>
      <c r="H176" s="31" t="s">
        <v>317</v>
      </c>
      <c r="I176" s="31" t="s">
        <v>316</v>
      </c>
      <c r="J176" s="31" t="s">
        <v>316</v>
      </c>
      <c r="K176" s="31" t="s">
        <v>316</v>
      </c>
      <c r="L176" s="32" t="str">
        <f t="shared" si="10"/>
        <v>EXCLUDE</v>
      </c>
      <c r="M176" s="32" t="str">
        <f t="shared" si="11"/>
        <v>Digital Twin not core / buzzword</v>
      </c>
      <c r="N176" s="33"/>
      <c r="O176" s="33"/>
      <c r="P176" s="34"/>
      <c r="Q176" s="34"/>
      <c r="R176" s="34"/>
      <c r="S176" s="32" t="str">
        <f t="shared" si="12"/>
        <v/>
      </c>
      <c r="T176" s="32" t="str">
        <f t="shared" si="13"/>
        <v/>
      </c>
      <c r="U176" s="35"/>
      <c r="V176" s="35"/>
      <c r="W176" s="35"/>
      <c r="X176" s="35"/>
      <c r="Y176" s="32" t="str">
        <f t="shared" si="14"/>
        <v/>
      </c>
      <c r="Z176" s="35"/>
      <c r="AA176" s="35"/>
      <c r="AB176" s="35"/>
      <c r="AC176" s="35"/>
      <c r="AD176" s="35"/>
      <c r="AE176" s="35"/>
      <c r="AF176" s="35"/>
      <c r="AG176" s="15" t="s">
        <v>492</v>
      </c>
    </row>
    <row r="177" spans="1:33" ht="102.6" x14ac:dyDescent="0.3">
      <c r="A177" s="30">
        <v>3591</v>
      </c>
      <c r="B177" s="9" t="s">
        <v>225</v>
      </c>
      <c r="C177" s="36">
        <v>2022</v>
      </c>
      <c r="D177" s="9"/>
      <c r="E177" s="9" t="s">
        <v>910</v>
      </c>
      <c r="F177" s="30" t="s">
        <v>314</v>
      </c>
      <c r="G177" s="31" t="s">
        <v>316</v>
      </c>
      <c r="H177" s="31" t="s">
        <v>316</v>
      </c>
      <c r="I177" s="31" t="s">
        <v>316</v>
      </c>
      <c r="J177" s="31" t="s">
        <v>316</v>
      </c>
      <c r="K177" s="31" t="s">
        <v>316</v>
      </c>
      <c r="L177" s="32" t="str">
        <f t="shared" si="10"/>
        <v>INCLUDE</v>
      </c>
      <c r="M177" s="32" t="str">
        <f t="shared" si="11"/>
        <v/>
      </c>
      <c r="N177" s="33" t="s">
        <v>49</v>
      </c>
      <c r="O177" s="33" t="s">
        <v>49</v>
      </c>
      <c r="P177" s="34" t="s">
        <v>49</v>
      </c>
      <c r="Q177" s="34" t="s">
        <v>49</v>
      </c>
      <c r="R177" s="34" t="s">
        <v>49</v>
      </c>
      <c r="S177" s="32" t="str">
        <f t="shared" si="12"/>
        <v>INCLUDE</v>
      </c>
      <c r="T177" s="32" t="str">
        <f t="shared" si="13"/>
        <v/>
      </c>
      <c r="U177" s="35" t="s">
        <v>61</v>
      </c>
      <c r="V177" s="35">
        <v>1</v>
      </c>
      <c r="W177" s="35">
        <v>0</v>
      </c>
      <c r="X177" s="35">
        <v>1</v>
      </c>
      <c r="Y177" s="32" t="str">
        <f t="shared" si="14"/>
        <v>Multi</v>
      </c>
      <c r="Z177" s="35" t="s">
        <v>9</v>
      </c>
      <c r="AA177" s="35" t="s">
        <v>53</v>
      </c>
      <c r="AB177" s="35" t="s">
        <v>92</v>
      </c>
      <c r="AC177" s="35" t="s">
        <v>64</v>
      </c>
      <c r="AD177" s="35" t="s">
        <v>65</v>
      </c>
      <c r="AE177" s="35">
        <v>4</v>
      </c>
      <c r="AF177" s="35" t="s">
        <v>80</v>
      </c>
      <c r="AG177" s="15" t="s">
        <v>493</v>
      </c>
    </row>
    <row r="178" spans="1:33" ht="22.8" x14ac:dyDescent="0.3">
      <c r="A178" s="30">
        <v>3748</v>
      </c>
      <c r="B178" s="9"/>
      <c r="C178" s="36"/>
      <c r="D178" s="9"/>
      <c r="E178" s="9" t="s">
        <v>911</v>
      </c>
      <c r="F178" s="30" t="s">
        <v>314</v>
      </c>
      <c r="G178" s="31" t="s">
        <v>316</v>
      </c>
      <c r="H178" s="31" t="s">
        <v>317</v>
      </c>
      <c r="I178" s="31" t="s">
        <v>316</v>
      </c>
      <c r="J178" s="31" t="s">
        <v>316</v>
      </c>
      <c r="K178" s="31" t="s">
        <v>316</v>
      </c>
      <c r="L178" s="32" t="str">
        <f t="shared" si="10"/>
        <v>EXCLUDE</v>
      </c>
      <c r="M178" s="32" t="str">
        <f t="shared" si="11"/>
        <v>Digital Twin not core / buzzword</v>
      </c>
      <c r="N178" s="33"/>
      <c r="O178" s="33"/>
      <c r="P178" s="34"/>
      <c r="Q178" s="34"/>
      <c r="R178" s="34"/>
      <c r="S178" s="32" t="str">
        <f t="shared" si="12"/>
        <v/>
      </c>
      <c r="T178" s="32" t="str">
        <f t="shared" si="13"/>
        <v/>
      </c>
      <c r="U178" s="35"/>
      <c r="V178" s="35"/>
      <c r="W178" s="35"/>
      <c r="X178" s="35"/>
      <c r="Y178" s="32" t="str">
        <f t="shared" si="14"/>
        <v/>
      </c>
      <c r="Z178" s="35"/>
      <c r="AA178" s="35"/>
      <c r="AB178" s="35"/>
      <c r="AC178" s="35"/>
      <c r="AD178" s="35"/>
      <c r="AE178" s="35"/>
      <c r="AF178" s="35"/>
      <c r="AG178" s="15" t="s">
        <v>494</v>
      </c>
    </row>
    <row r="179" spans="1:33" ht="102.6" x14ac:dyDescent="0.3">
      <c r="A179" s="30">
        <v>3712</v>
      </c>
      <c r="B179" s="9" t="s">
        <v>226</v>
      </c>
      <c r="C179" s="36">
        <v>2022</v>
      </c>
      <c r="D179" s="9"/>
      <c r="E179" s="9" t="s">
        <v>912</v>
      </c>
      <c r="F179" s="30" t="s">
        <v>314</v>
      </c>
      <c r="G179" s="31" t="s">
        <v>316</v>
      </c>
      <c r="H179" s="31" t="s">
        <v>316</v>
      </c>
      <c r="I179" s="31" t="s">
        <v>316</v>
      </c>
      <c r="J179" s="31" t="s">
        <v>316</v>
      </c>
      <c r="K179" s="31" t="s">
        <v>316</v>
      </c>
      <c r="L179" s="32" t="str">
        <f t="shared" si="10"/>
        <v>INCLUDE</v>
      </c>
      <c r="M179" s="32" t="str">
        <f t="shared" si="11"/>
        <v/>
      </c>
      <c r="N179" s="33" t="s">
        <v>49</v>
      </c>
      <c r="O179" s="33" t="s">
        <v>49</v>
      </c>
      <c r="P179" s="34" t="s">
        <v>49</v>
      </c>
      <c r="Q179" s="34" t="s">
        <v>49</v>
      </c>
      <c r="R179" s="34" t="s">
        <v>49</v>
      </c>
      <c r="S179" s="32" t="str">
        <f t="shared" si="12"/>
        <v>INCLUDE</v>
      </c>
      <c r="T179" s="32" t="str">
        <f t="shared" si="13"/>
        <v/>
      </c>
      <c r="U179" s="35" t="s">
        <v>61</v>
      </c>
      <c r="V179" s="35">
        <v>0</v>
      </c>
      <c r="W179" s="35">
        <v>0</v>
      </c>
      <c r="X179" s="35">
        <v>1</v>
      </c>
      <c r="Y179" s="32" t="str">
        <f t="shared" si="14"/>
        <v>Single</v>
      </c>
      <c r="Z179" s="35" t="s">
        <v>9</v>
      </c>
      <c r="AA179" s="35" t="s">
        <v>53</v>
      </c>
      <c r="AB179" s="35" t="s">
        <v>54</v>
      </c>
      <c r="AC179" s="35" t="s">
        <v>64</v>
      </c>
      <c r="AD179" s="35" t="s">
        <v>72</v>
      </c>
      <c r="AE179" s="35">
        <v>4</v>
      </c>
      <c r="AF179" s="35" t="s">
        <v>73</v>
      </c>
      <c r="AG179" s="15" t="s">
        <v>495</v>
      </c>
    </row>
    <row r="180" spans="1:33" ht="22.8" x14ac:dyDescent="0.3">
      <c r="A180" s="30">
        <v>3612</v>
      </c>
      <c r="B180" s="9"/>
      <c r="C180" s="36"/>
      <c r="D180" s="9"/>
      <c r="E180" s="9" t="s">
        <v>913</v>
      </c>
      <c r="F180" s="30" t="s">
        <v>314</v>
      </c>
      <c r="G180" s="31" t="s">
        <v>316</v>
      </c>
      <c r="H180" s="31" t="s">
        <v>316</v>
      </c>
      <c r="I180" s="31" t="s">
        <v>317</v>
      </c>
      <c r="J180" s="31" t="s">
        <v>316</v>
      </c>
      <c r="K180" s="31" t="s">
        <v>316</v>
      </c>
      <c r="L180" s="32" t="str">
        <f t="shared" si="10"/>
        <v>EXCLUDE</v>
      </c>
      <c r="M180" s="32" t="str">
        <f t="shared" si="11"/>
        <v>No Design for Safety/Quality/PtD</v>
      </c>
      <c r="N180" s="33"/>
      <c r="O180" s="33"/>
      <c r="P180" s="34"/>
      <c r="Q180" s="34"/>
      <c r="R180" s="34"/>
      <c r="S180" s="32" t="str">
        <f t="shared" si="12"/>
        <v/>
      </c>
      <c r="T180" s="32" t="str">
        <f t="shared" si="13"/>
        <v/>
      </c>
      <c r="U180" s="35"/>
      <c r="V180" s="35"/>
      <c r="W180" s="35"/>
      <c r="X180" s="35"/>
      <c r="Y180" s="32" t="str">
        <f t="shared" si="14"/>
        <v/>
      </c>
      <c r="Z180" s="35"/>
      <c r="AA180" s="35"/>
      <c r="AB180" s="35"/>
      <c r="AC180" s="35"/>
      <c r="AD180" s="35"/>
      <c r="AE180" s="35"/>
      <c r="AF180" s="35"/>
      <c r="AG180" s="15" t="s">
        <v>496</v>
      </c>
    </row>
    <row r="181" spans="1:33" ht="22.8" x14ac:dyDescent="0.3">
      <c r="A181" s="30">
        <v>3728</v>
      </c>
      <c r="B181" s="9"/>
      <c r="C181" s="36"/>
      <c r="D181" s="9"/>
      <c r="E181" s="9" t="s">
        <v>914</v>
      </c>
      <c r="F181" s="30" t="s">
        <v>314</v>
      </c>
      <c r="G181" s="31" t="s">
        <v>316</v>
      </c>
      <c r="H181" s="31" t="s">
        <v>317</v>
      </c>
      <c r="I181" s="31" t="s">
        <v>317</v>
      </c>
      <c r="J181" s="31" t="s">
        <v>316</v>
      </c>
      <c r="K181" s="31" t="s">
        <v>316</v>
      </c>
      <c r="L181" s="32" t="str">
        <f t="shared" si="10"/>
        <v>EXCLUDE</v>
      </c>
      <c r="M181" s="32" t="str">
        <f t="shared" si="11"/>
        <v>Digital Twin not core / buzzword</v>
      </c>
      <c r="N181" s="33"/>
      <c r="O181" s="33"/>
      <c r="P181" s="34"/>
      <c r="Q181" s="34"/>
      <c r="R181" s="34"/>
      <c r="S181" s="32" t="str">
        <f t="shared" si="12"/>
        <v/>
      </c>
      <c r="T181" s="32" t="str">
        <f t="shared" si="13"/>
        <v/>
      </c>
      <c r="U181" s="35"/>
      <c r="V181" s="35"/>
      <c r="W181" s="35"/>
      <c r="X181" s="35"/>
      <c r="Y181" s="32" t="str">
        <f t="shared" si="14"/>
        <v/>
      </c>
      <c r="Z181" s="35"/>
      <c r="AA181" s="35"/>
      <c r="AB181" s="35"/>
      <c r="AC181" s="35"/>
      <c r="AD181" s="35"/>
      <c r="AE181" s="35"/>
      <c r="AF181" s="35"/>
      <c r="AG181" s="15" t="s">
        <v>497</v>
      </c>
    </row>
    <row r="182" spans="1:33" ht="102.6" x14ac:dyDescent="0.3">
      <c r="A182" s="30">
        <v>3661</v>
      </c>
      <c r="B182" s="9" t="s">
        <v>227</v>
      </c>
      <c r="C182" s="36">
        <v>2024</v>
      </c>
      <c r="D182" s="9"/>
      <c r="E182" s="9" t="s">
        <v>915</v>
      </c>
      <c r="F182" s="30" t="s">
        <v>314</v>
      </c>
      <c r="G182" s="31" t="s">
        <v>316</v>
      </c>
      <c r="H182" s="31" t="s">
        <v>316</v>
      </c>
      <c r="I182" s="31" t="s">
        <v>316</v>
      </c>
      <c r="J182" s="31" t="s">
        <v>316</v>
      </c>
      <c r="K182" s="31" t="s">
        <v>316</v>
      </c>
      <c r="L182" s="32" t="str">
        <f t="shared" si="10"/>
        <v>INCLUDE</v>
      </c>
      <c r="M182" s="32" t="str">
        <f t="shared" si="11"/>
        <v/>
      </c>
      <c r="N182" s="33" t="s">
        <v>49</v>
      </c>
      <c r="O182" s="33" t="s">
        <v>49</v>
      </c>
      <c r="P182" s="34" t="s">
        <v>49</v>
      </c>
      <c r="Q182" s="34" t="s">
        <v>49</v>
      </c>
      <c r="R182" s="34" t="s">
        <v>49</v>
      </c>
      <c r="S182" s="32" t="str">
        <f t="shared" si="12"/>
        <v>INCLUDE</v>
      </c>
      <c r="T182" s="32" t="str">
        <f t="shared" si="13"/>
        <v/>
      </c>
      <c r="U182" s="35" t="s">
        <v>52</v>
      </c>
      <c r="V182" s="35">
        <v>0</v>
      </c>
      <c r="W182" s="35">
        <v>0</v>
      </c>
      <c r="X182" s="35">
        <v>1</v>
      </c>
      <c r="Y182" s="32" t="str">
        <f t="shared" si="14"/>
        <v>Single</v>
      </c>
      <c r="Z182" s="35" t="s">
        <v>11</v>
      </c>
      <c r="AA182" s="35" t="s">
        <v>53</v>
      </c>
      <c r="AB182" s="35" t="s">
        <v>73</v>
      </c>
      <c r="AC182" s="35" t="s">
        <v>64</v>
      </c>
      <c r="AD182" s="35" t="s">
        <v>79</v>
      </c>
      <c r="AE182" s="35">
        <v>4</v>
      </c>
      <c r="AF182" s="35" t="s">
        <v>73</v>
      </c>
      <c r="AG182" s="15" t="s">
        <v>498</v>
      </c>
    </row>
    <row r="183" spans="1:33" ht="22.8" x14ac:dyDescent="0.3">
      <c r="A183" s="30">
        <v>3937</v>
      </c>
      <c r="B183" s="9"/>
      <c r="C183" s="36"/>
      <c r="D183" s="9"/>
      <c r="E183" s="9" t="s">
        <v>916</v>
      </c>
      <c r="F183" s="30" t="s">
        <v>315</v>
      </c>
      <c r="G183" s="31" t="s">
        <v>316</v>
      </c>
      <c r="H183" s="31" t="s">
        <v>317</v>
      </c>
      <c r="I183" s="31" t="s">
        <v>317</v>
      </c>
      <c r="J183" s="31" t="s">
        <v>316</v>
      </c>
      <c r="K183" s="31" t="s">
        <v>316</v>
      </c>
      <c r="L183" s="32" t="str">
        <f t="shared" si="10"/>
        <v>EXCLUDE</v>
      </c>
      <c r="M183" s="32" t="str">
        <f t="shared" si="11"/>
        <v>Digital Twin not core / buzzword</v>
      </c>
      <c r="N183" s="33"/>
      <c r="O183" s="33"/>
      <c r="P183" s="34"/>
      <c r="Q183" s="34"/>
      <c r="R183" s="34"/>
      <c r="S183" s="32" t="str">
        <f t="shared" si="12"/>
        <v/>
      </c>
      <c r="T183" s="32" t="str">
        <f t="shared" si="13"/>
        <v/>
      </c>
      <c r="U183" s="35"/>
      <c r="V183" s="35"/>
      <c r="W183" s="35"/>
      <c r="X183" s="35"/>
      <c r="Y183" s="32" t="str">
        <f t="shared" si="14"/>
        <v/>
      </c>
      <c r="Z183" s="35"/>
      <c r="AA183" s="35"/>
      <c r="AB183" s="35"/>
      <c r="AC183" s="35"/>
      <c r="AD183" s="35"/>
      <c r="AE183" s="35"/>
      <c r="AF183" s="35"/>
      <c r="AG183" s="15" t="s">
        <v>499</v>
      </c>
    </row>
    <row r="184" spans="1:33" ht="22.8" x14ac:dyDescent="0.3">
      <c r="A184" s="30">
        <v>3839</v>
      </c>
      <c r="B184" s="9" t="s">
        <v>228</v>
      </c>
      <c r="C184" s="36">
        <v>2023</v>
      </c>
      <c r="D184" s="9"/>
      <c r="E184" s="9" t="s">
        <v>917</v>
      </c>
      <c r="F184" s="30" t="s">
        <v>314</v>
      </c>
      <c r="G184" s="31" t="s">
        <v>316</v>
      </c>
      <c r="H184" s="31" t="s">
        <v>316</v>
      </c>
      <c r="I184" s="31" t="s">
        <v>316</v>
      </c>
      <c r="J184" s="31" t="s">
        <v>316</v>
      </c>
      <c r="K184" s="31" t="s">
        <v>316</v>
      </c>
      <c r="L184" s="32" t="str">
        <f t="shared" si="10"/>
        <v>INCLUDE</v>
      </c>
      <c r="M184" s="32" t="str">
        <f t="shared" si="11"/>
        <v/>
      </c>
      <c r="N184" s="33" t="s">
        <v>58</v>
      </c>
      <c r="O184" s="33" t="s">
        <v>58</v>
      </c>
      <c r="P184" s="34"/>
      <c r="Q184" s="34"/>
      <c r="R184" s="34"/>
      <c r="S184" s="32" t="str">
        <f t="shared" si="12"/>
        <v/>
      </c>
      <c r="T184" s="32" t="str">
        <f t="shared" si="13"/>
        <v/>
      </c>
      <c r="U184" s="35"/>
      <c r="V184" s="35"/>
      <c r="W184" s="35"/>
      <c r="X184" s="35"/>
      <c r="Y184" s="32" t="str">
        <f t="shared" si="14"/>
        <v/>
      </c>
      <c r="Z184" s="35"/>
      <c r="AA184" s="35"/>
      <c r="AB184" s="35"/>
      <c r="AC184" s="35"/>
      <c r="AD184" s="35"/>
      <c r="AE184" s="35"/>
      <c r="AF184" s="35"/>
      <c r="AG184" s="15" t="s">
        <v>500</v>
      </c>
    </row>
    <row r="185" spans="1:33" ht="22.8" x14ac:dyDescent="0.3">
      <c r="A185" s="30">
        <v>3581</v>
      </c>
      <c r="B185" s="9"/>
      <c r="C185" s="36"/>
      <c r="D185" s="9"/>
      <c r="E185" s="9" t="s">
        <v>918</v>
      </c>
      <c r="F185" s="30" t="s">
        <v>314</v>
      </c>
      <c r="G185" s="31" t="s">
        <v>317</v>
      </c>
      <c r="H185" s="31" t="s">
        <v>316</v>
      </c>
      <c r="I185" s="31" t="s">
        <v>317</v>
      </c>
      <c r="J185" s="31" t="s">
        <v>316</v>
      </c>
      <c r="K185" s="31" t="s">
        <v>316</v>
      </c>
      <c r="L185" s="32" t="str">
        <f t="shared" si="10"/>
        <v>EXCLUDE</v>
      </c>
      <c r="M185" s="32" t="str">
        <f t="shared" si="11"/>
        <v>Wrong domain (non-AECO)</v>
      </c>
      <c r="N185" s="33"/>
      <c r="O185" s="33"/>
      <c r="P185" s="34"/>
      <c r="Q185" s="34"/>
      <c r="R185" s="34"/>
      <c r="S185" s="32" t="str">
        <f t="shared" si="12"/>
        <v/>
      </c>
      <c r="T185" s="32" t="str">
        <f t="shared" si="13"/>
        <v/>
      </c>
      <c r="U185" s="35"/>
      <c r="V185" s="35"/>
      <c r="W185" s="35"/>
      <c r="X185" s="35"/>
      <c r="Y185" s="32" t="str">
        <f t="shared" si="14"/>
        <v/>
      </c>
      <c r="Z185" s="35"/>
      <c r="AA185" s="35"/>
      <c r="AB185" s="35"/>
      <c r="AC185" s="35"/>
      <c r="AD185" s="35"/>
      <c r="AE185" s="35"/>
      <c r="AF185" s="35"/>
      <c r="AG185" s="15" t="s">
        <v>501</v>
      </c>
    </row>
    <row r="186" spans="1:33" ht="102.6" x14ac:dyDescent="0.3">
      <c r="A186" s="30">
        <v>3947</v>
      </c>
      <c r="B186" s="9" t="s">
        <v>229</v>
      </c>
      <c r="C186" s="36">
        <v>2021</v>
      </c>
      <c r="D186" s="9"/>
      <c r="E186" s="9" t="s">
        <v>919</v>
      </c>
      <c r="F186" s="30" t="s">
        <v>315</v>
      </c>
      <c r="G186" s="31" t="s">
        <v>316</v>
      </c>
      <c r="H186" s="31" t="s">
        <v>316</v>
      </c>
      <c r="I186" s="31" t="s">
        <v>316</v>
      </c>
      <c r="J186" s="31" t="s">
        <v>316</v>
      </c>
      <c r="K186" s="31" t="s">
        <v>316</v>
      </c>
      <c r="L186" s="32" t="str">
        <f t="shared" si="10"/>
        <v>INCLUDE</v>
      </c>
      <c r="M186" s="32" t="str">
        <f t="shared" si="11"/>
        <v/>
      </c>
      <c r="N186" s="33" t="s">
        <v>49</v>
      </c>
      <c r="O186" s="33" t="s">
        <v>49</v>
      </c>
      <c r="P186" s="34" t="s">
        <v>49</v>
      </c>
      <c r="Q186" s="34" t="s">
        <v>49</v>
      </c>
      <c r="R186" s="34" t="s">
        <v>49</v>
      </c>
      <c r="S186" s="32" t="str">
        <f t="shared" si="12"/>
        <v>INCLUDE</v>
      </c>
      <c r="T186" s="32" t="str">
        <f t="shared" si="13"/>
        <v/>
      </c>
      <c r="U186" s="35" t="s">
        <v>61</v>
      </c>
      <c r="V186" s="35">
        <v>0</v>
      </c>
      <c r="W186" s="35">
        <v>1</v>
      </c>
      <c r="X186" s="35">
        <v>1</v>
      </c>
      <c r="Y186" s="32" t="str">
        <f t="shared" si="14"/>
        <v>Multi</v>
      </c>
      <c r="Z186" s="35" t="s">
        <v>9</v>
      </c>
      <c r="AA186" s="35" t="s">
        <v>53</v>
      </c>
      <c r="AB186" s="35" t="s">
        <v>92</v>
      </c>
      <c r="AC186" s="35" t="s">
        <v>64</v>
      </c>
      <c r="AD186" s="35" t="s">
        <v>72</v>
      </c>
      <c r="AE186" s="35">
        <v>4</v>
      </c>
      <c r="AF186" s="35" t="s">
        <v>84</v>
      </c>
      <c r="AG186" s="15" t="s">
        <v>502</v>
      </c>
    </row>
    <row r="187" spans="1:33" ht="22.8" x14ac:dyDescent="0.3">
      <c r="A187" s="30">
        <v>3610</v>
      </c>
      <c r="B187" s="9"/>
      <c r="C187" s="36"/>
      <c r="D187" s="9"/>
      <c r="E187" s="9" t="s">
        <v>920</v>
      </c>
      <c r="F187" s="30" t="s">
        <v>314</v>
      </c>
      <c r="G187" s="31" t="s">
        <v>317</v>
      </c>
      <c r="H187" s="31" t="s">
        <v>317</v>
      </c>
      <c r="I187" s="31" t="s">
        <v>316</v>
      </c>
      <c r="J187" s="31" t="s">
        <v>316</v>
      </c>
      <c r="K187" s="31" t="s">
        <v>316</v>
      </c>
      <c r="L187" s="32" t="str">
        <f t="shared" si="10"/>
        <v>EXCLUDE</v>
      </c>
      <c r="M187" s="32" t="str">
        <f t="shared" si="11"/>
        <v>Wrong domain (non-AECO)</v>
      </c>
      <c r="N187" s="33"/>
      <c r="O187" s="33"/>
      <c r="P187" s="34"/>
      <c r="Q187" s="34"/>
      <c r="R187" s="34"/>
      <c r="S187" s="32" t="str">
        <f t="shared" si="12"/>
        <v/>
      </c>
      <c r="T187" s="32" t="str">
        <f t="shared" si="13"/>
        <v/>
      </c>
      <c r="U187" s="35"/>
      <c r="V187" s="35"/>
      <c r="W187" s="35"/>
      <c r="X187" s="35"/>
      <c r="Y187" s="32" t="str">
        <f t="shared" si="14"/>
        <v/>
      </c>
      <c r="Z187" s="35"/>
      <c r="AA187" s="35"/>
      <c r="AB187" s="35"/>
      <c r="AC187" s="35"/>
      <c r="AD187" s="35"/>
      <c r="AE187" s="35"/>
      <c r="AF187" s="35"/>
      <c r="AG187" s="15" t="s">
        <v>503</v>
      </c>
    </row>
    <row r="188" spans="1:33" ht="22.8" x14ac:dyDescent="0.3">
      <c r="A188" s="30">
        <v>3587</v>
      </c>
      <c r="B188" s="9"/>
      <c r="C188" s="36"/>
      <c r="D188" s="9"/>
      <c r="E188" s="9" t="s">
        <v>921</v>
      </c>
      <c r="F188" s="30" t="s">
        <v>314</v>
      </c>
      <c r="G188" s="31" t="s">
        <v>317</v>
      </c>
      <c r="H188" s="31" t="s">
        <v>316</v>
      </c>
      <c r="I188" s="31" t="s">
        <v>317</v>
      </c>
      <c r="J188" s="31" t="s">
        <v>316</v>
      </c>
      <c r="K188" s="31" t="s">
        <v>317</v>
      </c>
      <c r="L188" s="32" t="str">
        <f t="shared" si="10"/>
        <v>EXCLUDE</v>
      </c>
      <c r="M188" s="32" t="str">
        <f t="shared" si="11"/>
        <v>Wrong domain (non-AECO)</v>
      </c>
      <c r="N188" s="33"/>
      <c r="O188" s="33"/>
      <c r="P188" s="34"/>
      <c r="Q188" s="34"/>
      <c r="R188" s="34"/>
      <c r="S188" s="32" t="str">
        <f t="shared" si="12"/>
        <v/>
      </c>
      <c r="T188" s="32" t="str">
        <f t="shared" si="13"/>
        <v/>
      </c>
      <c r="U188" s="35"/>
      <c r="V188" s="35"/>
      <c r="W188" s="35"/>
      <c r="X188" s="35"/>
      <c r="Y188" s="32" t="str">
        <f t="shared" si="14"/>
        <v/>
      </c>
      <c r="Z188" s="35"/>
      <c r="AA188" s="35"/>
      <c r="AB188" s="35"/>
      <c r="AC188" s="35"/>
      <c r="AD188" s="35"/>
      <c r="AE188" s="35"/>
      <c r="AF188" s="35"/>
      <c r="AG188" s="15" t="s">
        <v>504</v>
      </c>
    </row>
    <row r="189" spans="1:33" ht="22.8" x14ac:dyDescent="0.3">
      <c r="A189" s="30">
        <v>3554</v>
      </c>
      <c r="B189" s="9"/>
      <c r="C189" s="36"/>
      <c r="D189" s="9"/>
      <c r="E189" s="9" t="s">
        <v>922</v>
      </c>
      <c r="F189" s="30" t="s">
        <v>314</v>
      </c>
      <c r="G189" s="31" t="s">
        <v>317</v>
      </c>
      <c r="H189" s="31" t="s">
        <v>316</v>
      </c>
      <c r="I189" s="31" t="s">
        <v>316</v>
      </c>
      <c r="J189" s="31" t="s">
        <v>316</v>
      </c>
      <c r="K189" s="31" t="s">
        <v>317</v>
      </c>
      <c r="L189" s="32" t="str">
        <f t="shared" si="10"/>
        <v>EXCLUDE</v>
      </c>
      <c r="M189" s="32" t="str">
        <f t="shared" si="11"/>
        <v>Wrong domain (non-AECO)</v>
      </c>
      <c r="N189" s="33"/>
      <c r="O189" s="33"/>
      <c r="P189" s="34"/>
      <c r="Q189" s="34"/>
      <c r="R189" s="34"/>
      <c r="S189" s="32" t="str">
        <f t="shared" si="12"/>
        <v/>
      </c>
      <c r="T189" s="32" t="str">
        <f t="shared" si="13"/>
        <v/>
      </c>
      <c r="U189" s="35"/>
      <c r="V189" s="35"/>
      <c r="W189" s="35"/>
      <c r="X189" s="35"/>
      <c r="Y189" s="32" t="str">
        <f t="shared" si="14"/>
        <v/>
      </c>
      <c r="Z189" s="35"/>
      <c r="AA189" s="35"/>
      <c r="AB189" s="35"/>
      <c r="AC189" s="35"/>
      <c r="AD189" s="35"/>
      <c r="AE189" s="35"/>
      <c r="AF189" s="35"/>
      <c r="AG189" s="15" t="s">
        <v>505</v>
      </c>
    </row>
    <row r="190" spans="1:33" ht="22.8" x14ac:dyDescent="0.3">
      <c r="A190" s="30">
        <v>3767</v>
      </c>
      <c r="B190" s="9"/>
      <c r="C190" s="36"/>
      <c r="D190" s="9"/>
      <c r="E190" s="9" t="s">
        <v>923</v>
      </c>
      <c r="F190" s="30" t="s">
        <v>314</v>
      </c>
      <c r="G190" s="31" t="s">
        <v>316</v>
      </c>
      <c r="H190" s="31" t="s">
        <v>317</v>
      </c>
      <c r="I190" s="31" t="s">
        <v>316</v>
      </c>
      <c r="J190" s="31" t="s">
        <v>316</v>
      </c>
      <c r="K190" s="31" t="s">
        <v>316</v>
      </c>
      <c r="L190" s="32" t="str">
        <f t="shared" si="10"/>
        <v>EXCLUDE</v>
      </c>
      <c r="M190" s="32" t="str">
        <f t="shared" si="11"/>
        <v>Digital Twin not core / buzzword</v>
      </c>
      <c r="N190" s="33"/>
      <c r="O190" s="33"/>
      <c r="P190" s="34"/>
      <c r="Q190" s="34"/>
      <c r="R190" s="34"/>
      <c r="S190" s="32" t="str">
        <f t="shared" si="12"/>
        <v/>
      </c>
      <c r="T190" s="32" t="str">
        <f t="shared" si="13"/>
        <v/>
      </c>
      <c r="U190" s="35"/>
      <c r="V190" s="35"/>
      <c r="W190" s="35"/>
      <c r="X190" s="35"/>
      <c r="Y190" s="32" t="str">
        <f t="shared" si="14"/>
        <v/>
      </c>
      <c r="Z190" s="35"/>
      <c r="AA190" s="35"/>
      <c r="AB190" s="35"/>
      <c r="AC190" s="35"/>
      <c r="AD190" s="35"/>
      <c r="AE190" s="35"/>
      <c r="AF190" s="35"/>
      <c r="AG190" s="15" t="s">
        <v>506</v>
      </c>
    </row>
    <row r="191" spans="1:33" ht="22.8" x14ac:dyDescent="0.3">
      <c r="A191" s="30">
        <v>4016</v>
      </c>
      <c r="B191" s="9"/>
      <c r="C191" s="36"/>
      <c r="D191" s="9"/>
      <c r="E191" s="9" t="s">
        <v>924</v>
      </c>
      <c r="F191" s="30" t="s">
        <v>315</v>
      </c>
      <c r="G191" s="31" t="s">
        <v>316</v>
      </c>
      <c r="H191" s="31" t="s">
        <v>317</v>
      </c>
      <c r="I191" s="31" t="s">
        <v>317</v>
      </c>
      <c r="J191" s="31" t="s">
        <v>316</v>
      </c>
      <c r="K191" s="31" t="s">
        <v>316</v>
      </c>
      <c r="L191" s="32" t="str">
        <f t="shared" si="10"/>
        <v>EXCLUDE</v>
      </c>
      <c r="M191" s="32" t="str">
        <f t="shared" si="11"/>
        <v>Digital Twin not core / buzzword</v>
      </c>
      <c r="N191" s="33"/>
      <c r="O191" s="33"/>
      <c r="P191" s="34"/>
      <c r="Q191" s="34"/>
      <c r="R191" s="34"/>
      <c r="S191" s="32" t="str">
        <f t="shared" si="12"/>
        <v/>
      </c>
      <c r="T191" s="32" t="str">
        <f t="shared" si="13"/>
        <v/>
      </c>
      <c r="U191" s="35"/>
      <c r="V191" s="35"/>
      <c r="W191" s="35"/>
      <c r="X191" s="35"/>
      <c r="Y191" s="32" t="str">
        <f t="shared" si="14"/>
        <v/>
      </c>
      <c r="Z191" s="35"/>
      <c r="AA191" s="35"/>
      <c r="AB191" s="35"/>
      <c r="AC191" s="35"/>
      <c r="AD191" s="35"/>
      <c r="AE191" s="35"/>
      <c r="AF191" s="35"/>
      <c r="AG191" s="15" t="s">
        <v>507</v>
      </c>
    </row>
    <row r="192" spans="1:33" ht="22.8" x14ac:dyDescent="0.3">
      <c r="A192" s="30">
        <v>4011</v>
      </c>
      <c r="B192" s="9"/>
      <c r="C192" s="36"/>
      <c r="D192" s="9"/>
      <c r="E192" s="9" t="s">
        <v>925</v>
      </c>
      <c r="F192" s="30" t="s">
        <v>315</v>
      </c>
      <c r="G192" s="31" t="s">
        <v>317</v>
      </c>
      <c r="H192" s="31" t="s">
        <v>316</v>
      </c>
      <c r="I192" s="31" t="s">
        <v>316</v>
      </c>
      <c r="J192" s="31" t="s">
        <v>316</v>
      </c>
      <c r="K192" s="31" t="s">
        <v>316</v>
      </c>
      <c r="L192" s="32" t="str">
        <f t="shared" si="10"/>
        <v>EXCLUDE</v>
      </c>
      <c r="M192" s="32" t="str">
        <f t="shared" si="11"/>
        <v>Wrong domain (non-AECO)</v>
      </c>
      <c r="N192" s="33"/>
      <c r="O192" s="33"/>
      <c r="P192" s="34"/>
      <c r="Q192" s="34"/>
      <c r="R192" s="34"/>
      <c r="S192" s="32" t="str">
        <f t="shared" si="12"/>
        <v/>
      </c>
      <c r="T192" s="32" t="str">
        <f t="shared" si="13"/>
        <v/>
      </c>
      <c r="U192" s="35"/>
      <c r="V192" s="35"/>
      <c r="W192" s="35"/>
      <c r="X192" s="35"/>
      <c r="Y192" s="32" t="str">
        <f t="shared" si="14"/>
        <v/>
      </c>
      <c r="Z192" s="35"/>
      <c r="AA192" s="35"/>
      <c r="AB192" s="35"/>
      <c r="AC192" s="35"/>
      <c r="AD192" s="35"/>
      <c r="AE192" s="35"/>
      <c r="AF192" s="35"/>
      <c r="AG192" s="15" t="s">
        <v>508</v>
      </c>
    </row>
    <row r="193" spans="1:33" ht="22.8" x14ac:dyDescent="0.3">
      <c r="A193" s="30">
        <v>3617</v>
      </c>
      <c r="B193" s="9"/>
      <c r="C193" s="36"/>
      <c r="D193" s="9"/>
      <c r="E193" s="9" t="s">
        <v>926</v>
      </c>
      <c r="F193" s="30" t="s">
        <v>314</v>
      </c>
      <c r="G193" s="31" t="s">
        <v>316</v>
      </c>
      <c r="H193" s="31" t="s">
        <v>317</v>
      </c>
      <c r="I193" s="31" t="s">
        <v>316</v>
      </c>
      <c r="J193" s="31" t="s">
        <v>316</v>
      </c>
      <c r="K193" s="31" t="s">
        <v>316</v>
      </c>
      <c r="L193" s="32" t="str">
        <f t="shared" si="10"/>
        <v>EXCLUDE</v>
      </c>
      <c r="M193" s="32" t="str">
        <f t="shared" si="11"/>
        <v>Digital Twin not core / buzzword</v>
      </c>
      <c r="N193" s="33"/>
      <c r="O193" s="33"/>
      <c r="P193" s="34"/>
      <c r="Q193" s="34"/>
      <c r="R193" s="34"/>
      <c r="S193" s="32" t="str">
        <f t="shared" si="12"/>
        <v/>
      </c>
      <c r="T193" s="32" t="str">
        <f t="shared" si="13"/>
        <v/>
      </c>
      <c r="U193" s="35"/>
      <c r="V193" s="35"/>
      <c r="W193" s="35"/>
      <c r="X193" s="35"/>
      <c r="Y193" s="32" t="str">
        <f t="shared" si="14"/>
        <v/>
      </c>
      <c r="Z193" s="35"/>
      <c r="AA193" s="35"/>
      <c r="AB193" s="35"/>
      <c r="AC193" s="35"/>
      <c r="AD193" s="35"/>
      <c r="AE193" s="35"/>
      <c r="AF193" s="35"/>
      <c r="AG193" s="15" t="s">
        <v>509</v>
      </c>
    </row>
    <row r="194" spans="1:33" ht="22.8" x14ac:dyDescent="0.3">
      <c r="A194" s="30">
        <v>3510</v>
      </c>
      <c r="B194" s="9"/>
      <c r="C194" s="36"/>
      <c r="D194" s="9"/>
      <c r="E194" s="9" t="s">
        <v>927</v>
      </c>
      <c r="F194" s="30" t="s">
        <v>314</v>
      </c>
      <c r="G194" s="31" t="s">
        <v>317</v>
      </c>
      <c r="H194" s="31" t="s">
        <v>317</v>
      </c>
      <c r="I194" s="31" t="s">
        <v>316</v>
      </c>
      <c r="J194" s="31" t="s">
        <v>316</v>
      </c>
      <c r="K194" s="31" t="s">
        <v>317</v>
      </c>
      <c r="L194" s="32" t="str">
        <f t="shared" ref="L194:L257" si="15">IF(COUNTBLANK(G194:K194)=5,"",IF(COUNTIF(G194:K194,"No")&gt;0,"EXCLUDE","INCLUDE"))</f>
        <v>EXCLUDE</v>
      </c>
      <c r="M194" s="32" t="str">
        <f t="shared" ref="M194:M257" si="16">IF(L194&lt;&gt;"EXCLUDE","",IF(G194="No","Wrong domain (non-AECO)",IF(H194="No","Digital Twin not core / buzzword",IF(I194="No","No Design for Safety/Quality/PtD",IF(J194="No","Wrong publication type",IF(K194="No","Non-English",""))))))</f>
        <v>Wrong domain (non-AECO)</v>
      </c>
      <c r="N194" s="33"/>
      <c r="O194" s="33"/>
      <c r="P194" s="34"/>
      <c r="Q194" s="34"/>
      <c r="R194" s="34"/>
      <c r="S194" s="32" t="str">
        <f t="shared" ref="S194:S257" si="17">IF(N194&lt;&gt;"Yes","",IF(COUNTBLANK(P194:R194)=3,"",IF(COUNTIF(P194:R194,"No")&gt;0,"EXCLUDE","INCLUDE")))</f>
        <v/>
      </c>
      <c r="T194" s="32" t="str">
        <f t="shared" ref="T194:T257" si="18">IF(S194&lt;&gt;"EXCLUDE","",IF(P194="No","Digital Twin mentioned only, not the subject",IF(Q194="No","No Design for Safety/Quality in full text",IF(R194="No","Methodology not codable",""))))</f>
        <v/>
      </c>
      <c r="U194" s="35"/>
      <c r="V194" s="35"/>
      <c r="W194" s="35"/>
      <c r="X194" s="35"/>
      <c r="Y194" s="32" t="str">
        <f t="shared" ref="Y194:Y257" si="19">IF(SUM(V194:X194)=0,"",IF(SUM(V194:X194)&gt;=2,"Multi","Single"))</f>
        <v/>
      </c>
      <c r="Z194" s="35"/>
      <c r="AA194" s="35"/>
      <c r="AB194" s="35"/>
      <c r="AC194" s="35"/>
      <c r="AD194" s="35"/>
      <c r="AE194" s="35"/>
      <c r="AF194" s="35"/>
      <c r="AG194" s="15" t="s">
        <v>510</v>
      </c>
    </row>
    <row r="195" spans="1:33" ht="102.6" x14ac:dyDescent="0.3">
      <c r="A195" s="30">
        <v>3899</v>
      </c>
      <c r="B195" s="9" t="s">
        <v>230</v>
      </c>
      <c r="C195" s="36">
        <v>2026</v>
      </c>
      <c r="D195" s="9"/>
      <c r="E195" s="9" t="s">
        <v>928</v>
      </c>
      <c r="F195" s="30" t="s">
        <v>315</v>
      </c>
      <c r="G195" s="31" t="s">
        <v>316</v>
      </c>
      <c r="H195" s="31" t="s">
        <v>316</v>
      </c>
      <c r="I195" s="31" t="s">
        <v>316</v>
      </c>
      <c r="J195" s="31" t="s">
        <v>316</v>
      </c>
      <c r="K195" s="31" t="s">
        <v>316</v>
      </c>
      <c r="L195" s="32" t="str">
        <f t="shared" si="15"/>
        <v>INCLUDE</v>
      </c>
      <c r="M195" s="32" t="str">
        <f t="shared" si="16"/>
        <v/>
      </c>
      <c r="N195" s="33" t="s">
        <v>49</v>
      </c>
      <c r="O195" s="33" t="s">
        <v>49</v>
      </c>
      <c r="P195" s="34" t="s">
        <v>49</v>
      </c>
      <c r="Q195" s="34" t="s">
        <v>49</v>
      </c>
      <c r="R195" s="34" t="s">
        <v>49</v>
      </c>
      <c r="S195" s="32" t="str">
        <f t="shared" si="17"/>
        <v>INCLUDE</v>
      </c>
      <c r="T195" s="32" t="str">
        <f t="shared" si="18"/>
        <v/>
      </c>
      <c r="U195" s="35" t="s">
        <v>61</v>
      </c>
      <c r="V195" s="35">
        <v>0</v>
      </c>
      <c r="W195" s="35">
        <v>1</v>
      </c>
      <c r="X195" s="35">
        <v>0</v>
      </c>
      <c r="Y195" s="32" t="str">
        <f t="shared" si="19"/>
        <v>Single</v>
      </c>
      <c r="Z195" s="35" t="s">
        <v>9</v>
      </c>
      <c r="AA195" s="35" t="s">
        <v>53</v>
      </c>
      <c r="AB195" s="35" t="s">
        <v>88</v>
      </c>
      <c r="AC195" s="35" t="s">
        <v>64</v>
      </c>
      <c r="AD195" s="35" t="s">
        <v>72</v>
      </c>
      <c r="AE195" s="35">
        <v>4</v>
      </c>
      <c r="AF195" s="35" t="s">
        <v>57</v>
      </c>
      <c r="AG195" s="15" t="s">
        <v>511</v>
      </c>
    </row>
    <row r="196" spans="1:33" ht="102.6" x14ac:dyDescent="0.3">
      <c r="A196" s="30">
        <v>3974</v>
      </c>
      <c r="B196" s="9" t="s">
        <v>231</v>
      </c>
      <c r="C196" s="36">
        <v>2025</v>
      </c>
      <c r="D196" s="9"/>
      <c r="E196" s="9" t="s">
        <v>929</v>
      </c>
      <c r="F196" s="30" t="s">
        <v>315</v>
      </c>
      <c r="G196" s="31" t="s">
        <v>316</v>
      </c>
      <c r="H196" s="31" t="s">
        <v>316</v>
      </c>
      <c r="I196" s="31" t="s">
        <v>316</v>
      </c>
      <c r="J196" s="31" t="s">
        <v>316</v>
      </c>
      <c r="K196" s="31" t="s">
        <v>316</v>
      </c>
      <c r="L196" s="32" t="str">
        <f t="shared" si="15"/>
        <v>INCLUDE</v>
      </c>
      <c r="M196" s="32" t="str">
        <f t="shared" si="16"/>
        <v/>
      </c>
      <c r="N196" s="33" t="s">
        <v>49</v>
      </c>
      <c r="O196" s="33" t="s">
        <v>49</v>
      </c>
      <c r="P196" s="34" t="s">
        <v>49</v>
      </c>
      <c r="Q196" s="34" t="s">
        <v>49</v>
      </c>
      <c r="R196" s="34" t="s">
        <v>49</v>
      </c>
      <c r="S196" s="32" t="str">
        <f t="shared" si="17"/>
        <v>INCLUDE</v>
      </c>
      <c r="T196" s="32" t="str">
        <f t="shared" si="18"/>
        <v/>
      </c>
      <c r="U196" s="35" t="s">
        <v>68</v>
      </c>
      <c r="V196" s="35">
        <v>0</v>
      </c>
      <c r="W196" s="35">
        <v>1</v>
      </c>
      <c r="X196" s="35">
        <v>0</v>
      </c>
      <c r="Y196" s="32" t="str">
        <f t="shared" si="19"/>
        <v>Single</v>
      </c>
      <c r="Z196" s="35" t="s">
        <v>9</v>
      </c>
      <c r="AA196" s="35" t="s">
        <v>53</v>
      </c>
      <c r="AB196" s="35" t="s">
        <v>73</v>
      </c>
      <c r="AC196" s="35" t="s">
        <v>64</v>
      </c>
      <c r="AD196" s="35" t="s">
        <v>72</v>
      </c>
      <c r="AE196" s="35">
        <v>4</v>
      </c>
      <c r="AF196" s="35" t="s">
        <v>80</v>
      </c>
      <c r="AG196" s="15" t="s">
        <v>512</v>
      </c>
    </row>
    <row r="197" spans="1:33" ht="91.2" x14ac:dyDescent="0.3">
      <c r="A197" s="30">
        <v>3945</v>
      </c>
      <c r="B197" s="9" t="s">
        <v>232</v>
      </c>
      <c r="C197" s="36">
        <v>2020</v>
      </c>
      <c r="D197" s="9"/>
      <c r="E197" s="9" t="s">
        <v>930</v>
      </c>
      <c r="F197" s="30" t="s">
        <v>315</v>
      </c>
      <c r="G197" s="31" t="s">
        <v>316</v>
      </c>
      <c r="H197" s="31" t="s">
        <v>316</v>
      </c>
      <c r="I197" s="31" t="s">
        <v>316</v>
      </c>
      <c r="J197" s="31" t="s">
        <v>316</v>
      </c>
      <c r="K197" s="31" t="s">
        <v>316</v>
      </c>
      <c r="L197" s="32" t="str">
        <f t="shared" si="15"/>
        <v>INCLUDE</v>
      </c>
      <c r="M197" s="32" t="str">
        <f t="shared" si="16"/>
        <v/>
      </c>
      <c r="N197" s="33" t="s">
        <v>49</v>
      </c>
      <c r="O197" s="33" t="s">
        <v>49</v>
      </c>
      <c r="P197" s="34" t="s">
        <v>49</v>
      </c>
      <c r="Q197" s="34" t="s">
        <v>49</v>
      </c>
      <c r="R197" s="34" t="s">
        <v>49</v>
      </c>
      <c r="S197" s="32" t="str">
        <f t="shared" si="17"/>
        <v>INCLUDE</v>
      </c>
      <c r="T197" s="32" t="str">
        <f t="shared" si="18"/>
        <v/>
      </c>
      <c r="U197" s="35" t="s">
        <v>61</v>
      </c>
      <c r="V197" s="35">
        <v>0</v>
      </c>
      <c r="W197" s="35">
        <v>0</v>
      </c>
      <c r="X197" s="35">
        <v>1</v>
      </c>
      <c r="Y197" s="32" t="str">
        <f t="shared" si="19"/>
        <v>Single</v>
      </c>
      <c r="Z197" s="35" t="s">
        <v>9</v>
      </c>
      <c r="AA197" s="35" t="s">
        <v>53</v>
      </c>
      <c r="AB197" s="35" t="s">
        <v>91</v>
      </c>
      <c r="AC197" s="35" t="s">
        <v>64</v>
      </c>
      <c r="AD197" s="35" t="s">
        <v>72</v>
      </c>
      <c r="AE197" s="35">
        <v>3</v>
      </c>
      <c r="AF197" s="35" t="s">
        <v>66</v>
      </c>
      <c r="AG197" s="15" t="s">
        <v>513</v>
      </c>
    </row>
    <row r="198" spans="1:33" ht="22.8" x14ac:dyDescent="0.3">
      <c r="A198" s="30">
        <v>3990</v>
      </c>
      <c r="B198" s="9"/>
      <c r="C198" s="36"/>
      <c r="D198" s="9"/>
      <c r="E198" s="9" t="s">
        <v>931</v>
      </c>
      <c r="F198" s="30" t="s">
        <v>315</v>
      </c>
      <c r="G198" s="31" t="s">
        <v>316</v>
      </c>
      <c r="H198" s="31" t="s">
        <v>317</v>
      </c>
      <c r="I198" s="31" t="s">
        <v>316</v>
      </c>
      <c r="J198" s="31" t="s">
        <v>316</v>
      </c>
      <c r="K198" s="31" t="s">
        <v>316</v>
      </c>
      <c r="L198" s="32" t="str">
        <f t="shared" si="15"/>
        <v>EXCLUDE</v>
      </c>
      <c r="M198" s="32" t="str">
        <f t="shared" si="16"/>
        <v>Digital Twin not core / buzzword</v>
      </c>
      <c r="N198" s="33"/>
      <c r="O198" s="33"/>
      <c r="P198" s="34"/>
      <c r="Q198" s="34"/>
      <c r="R198" s="34"/>
      <c r="S198" s="32" t="str">
        <f t="shared" si="17"/>
        <v/>
      </c>
      <c r="T198" s="32" t="str">
        <f t="shared" si="18"/>
        <v/>
      </c>
      <c r="U198" s="35"/>
      <c r="V198" s="35"/>
      <c r="W198" s="35"/>
      <c r="X198" s="35"/>
      <c r="Y198" s="32" t="str">
        <f t="shared" si="19"/>
        <v/>
      </c>
      <c r="Z198" s="35"/>
      <c r="AA198" s="35"/>
      <c r="AB198" s="35"/>
      <c r="AC198" s="35"/>
      <c r="AD198" s="35"/>
      <c r="AE198" s="35"/>
      <c r="AF198" s="35"/>
      <c r="AG198" s="15" t="s">
        <v>514</v>
      </c>
    </row>
    <row r="199" spans="1:33" ht="22.8" x14ac:dyDescent="0.3">
      <c r="A199" s="30">
        <v>3729</v>
      </c>
      <c r="B199" s="9"/>
      <c r="C199" s="36"/>
      <c r="D199" s="9"/>
      <c r="E199" s="9" t="s">
        <v>932</v>
      </c>
      <c r="F199" s="30" t="s">
        <v>314</v>
      </c>
      <c r="G199" s="31" t="s">
        <v>317</v>
      </c>
      <c r="H199" s="31" t="s">
        <v>316</v>
      </c>
      <c r="I199" s="31" t="s">
        <v>316</v>
      </c>
      <c r="J199" s="31" t="s">
        <v>316</v>
      </c>
      <c r="K199" s="31" t="s">
        <v>316</v>
      </c>
      <c r="L199" s="32" t="str">
        <f t="shared" si="15"/>
        <v>EXCLUDE</v>
      </c>
      <c r="M199" s="32" t="str">
        <f t="shared" si="16"/>
        <v>Wrong domain (non-AECO)</v>
      </c>
      <c r="N199" s="33"/>
      <c r="O199" s="33"/>
      <c r="P199" s="34"/>
      <c r="Q199" s="34"/>
      <c r="R199" s="34"/>
      <c r="S199" s="32" t="str">
        <f t="shared" si="17"/>
        <v/>
      </c>
      <c r="T199" s="32" t="str">
        <f t="shared" si="18"/>
        <v/>
      </c>
      <c r="U199" s="35"/>
      <c r="V199" s="35"/>
      <c r="W199" s="35"/>
      <c r="X199" s="35"/>
      <c r="Y199" s="32" t="str">
        <f t="shared" si="19"/>
        <v/>
      </c>
      <c r="Z199" s="35"/>
      <c r="AA199" s="35"/>
      <c r="AB199" s="35"/>
      <c r="AC199" s="35"/>
      <c r="AD199" s="35"/>
      <c r="AE199" s="35"/>
      <c r="AF199" s="35"/>
      <c r="AG199" s="15" t="s">
        <v>515</v>
      </c>
    </row>
    <row r="200" spans="1:33" ht="22.8" x14ac:dyDescent="0.3">
      <c r="A200" s="30">
        <v>3898</v>
      </c>
      <c r="B200" s="9"/>
      <c r="C200" s="36"/>
      <c r="D200" s="9"/>
      <c r="E200" s="9" t="s">
        <v>933</v>
      </c>
      <c r="F200" s="30" t="s">
        <v>315</v>
      </c>
      <c r="G200" s="31" t="s">
        <v>316</v>
      </c>
      <c r="H200" s="31" t="s">
        <v>316</v>
      </c>
      <c r="I200" s="31" t="s">
        <v>317</v>
      </c>
      <c r="J200" s="31" t="s">
        <v>316</v>
      </c>
      <c r="K200" s="31" t="s">
        <v>316</v>
      </c>
      <c r="L200" s="32" t="str">
        <f t="shared" si="15"/>
        <v>EXCLUDE</v>
      </c>
      <c r="M200" s="32" t="str">
        <f t="shared" si="16"/>
        <v>No Design for Safety/Quality/PtD</v>
      </c>
      <c r="N200" s="33"/>
      <c r="O200" s="33"/>
      <c r="P200" s="34"/>
      <c r="Q200" s="34"/>
      <c r="R200" s="34"/>
      <c r="S200" s="32" t="str">
        <f t="shared" si="17"/>
        <v/>
      </c>
      <c r="T200" s="32" t="str">
        <f t="shared" si="18"/>
        <v/>
      </c>
      <c r="U200" s="35"/>
      <c r="V200" s="35"/>
      <c r="W200" s="35"/>
      <c r="X200" s="35"/>
      <c r="Y200" s="32" t="str">
        <f t="shared" si="19"/>
        <v/>
      </c>
      <c r="Z200" s="35"/>
      <c r="AA200" s="35"/>
      <c r="AB200" s="35"/>
      <c r="AC200" s="35"/>
      <c r="AD200" s="35"/>
      <c r="AE200" s="35"/>
      <c r="AF200" s="35"/>
      <c r="AG200" s="15" t="s">
        <v>516</v>
      </c>
    </row>
    <row r="201" spans="1:33" ht="22.8" x14ac:dyDescent="0.3">
      <c r="A201" s="30">
        <v>3514</v>
      </c>
      <c r="B201" s="9"/>
      <c r="C201" s="36"/>
      <c r="D201" s="9"/>
      <c r="E201" s="9" t="s">
        <v>934</v>
      </c>
      <c r="F201" s="30" t="s">
        <v>314</v>
      </c>
      <c r="G201" s="31" t="s">
        <v>316</v>
      </c>
      <c r="H201" s="31" t="s">
        <v>316</v>
      </c>
      <c r="I201" s="31" t="s">
        <v>316</v>
      </c>
      <c r="J201" s="31" t="s">
        <v>316</v>
      </c>
      <c r="K201" s="31" t="s">
        <v>317</v>
      </c>
      <c r="L201" s="32" t="str">
        <f t="shared" si="15"/>
        <v>EXCLUDE</v>
      </c>
      <c r="M201" s="32" t="str">
        <f t="shared" si="16"/>
        <v>Non-English</v>
      </c>
      <c r="N201" s="33"/>
      <c r="O201" s="33"/>
      <c r="P201" s="34"/>
      <c r="Q201" s="34"/>
      <c r="R201" s="34"/>
      <c r="S201" s="32" t="str">
        <f t="shared" si="17"/>
        <v/>
      </c>
      <c r="T201" s="32" t="str">
        <f t="shared" si="18"/>
        <v/>
      </c>
      <c r="U201" s="35"/>
      <c r="V201" s="35"/>
      <c r="W201" s="35"/>
      <c r="X201" s="35"/>
      <c r="Y201" s="32" t="str">
        <f t="shared" si="19"/>
        <v/>
      </c>
      <c r="Z201" s="35"/>
      <c r="AA201" s="35"/>
      <c r="AB201" s="35"/>
      <c r="AC201" s="35"/>
      <c r="AD201" s="35"/>
      <c r="AE201" s="35"/>
      <c r="AF201" s="35"/>
      <c r="AG201" s="15" t="s">
        <v>517</v>
      </c>
    </row>
    <row r="202" spans="1:33" ht="22.8" x14ac:dyDescent="0.3">
      <c r="A202" s="30">
        <v>3672</v>
      </c>
      <c r="B202" s="9"/>
      <c r="C202" s="36"/>
      <c r="D202" s="9"/>
      <c r="E202" s="9" t="s">
        <v>935</v>
      </c>
      <c r="F202" s="30" t="s">
        <v>314</v>
      </c>
      <c r="G202" s="31" t="s">
        <v>317</v>
      </c>
      <c r="H202" s="31" t="s">
        <v>316</v>
      </c>
      <c r="I202" s="31" t="s">
        <v>316</v>
      </c>
      <c r="J202" s="31" t="s">
        <v>316</v>
      </c>
      <c r="K202" s="31" t="s">
        <v>316</v>
      </c>
      <c r="L202" s="32" t="str">
        <f t="shared" si="15"/>
        <v>EXCLUDE</v>
      </c>
      <c r="M202" s="32" t="str">
        <f t="shared" si="16"/>
        <v>Wrong domain (non-AECO)</v>
      </c>
      <c r="N202" s="33"/>
      <c r="O202" s="33"/>
      <c r="P202" s="34"/>
      <c r="Q202" s="34"/>
      <c r="R202" s="34"/>
      <c r="S202" s="32" t="str">
        <f t="shared" si="17"/>
        <v/>
      </c>
      <c r="T202" s="32" t="str">
        <f t="shared" si="18"/>
        <v/>
      </c>
      <c r="U202" s="35"/>
      <c r="V202" s="35"/>
      <c r="W202" s="35"/>
      <c r="X202" s="35"/>
      <c r="Y202" s="32" t="str">
        <f t="shared" si="19"/>
        <v/>
      </c>
      <c r="Z202" s="35"/>
      <c r="AA202" s="35"/>
      <c r="AB202" s="35"/>
      <c r="AC202" s="35"/>
      <c r="AD202" s="35"/>
      <c r="AE202" s="35"/>
      <c r="AF202" s="35"/>
      <c r="AG202" s="15" t="s">
        <v>518</v>
      </c>
    </row>
    <row r="203" spans="1:33" ht="22.8" x14ac:dyDescent="0.3">
      <c r="A203" s="30">
        <v>3879</v>
      </c>
      <c r="B203" s="9"/>
      <c r="C203" s="36"/>
      <c r="D203" s="9"/>
      <c r="E203" s="9" t="s">
        <v>936</v>
      </c>
      <c r="F203" s="30" t="s">
        <v>315</v>
      </c>
      <c r="G203" s="31" t="s">
        <v>316</v>
      </c>
      <c r="H203" s="31" t="s">
        <v>317</v>
      </c>
      <c r="I203" s="31" t="s">
        <v>317</v>
      </c>
      <c r="J203" s="31" t="s">
        <v>316</v>
      </c>
      <c r="K203" s="31" t="s">
        <v>316</v>
      </c>
      <c r="L203" s="32" t="str">
        <f t="shared" si="15"/>
        <v>EXCLUDE</v>
      </c>
      <c r="M203" s="32" t="str">
        <f t="shared" si="16"/>
        <v>Digital Twin not core / buzzword</v>
      </c>
      <c r="N203" s="33"/>
      <c r="O203" s="33"/>
      <c r="P203" s="34"/>
      <c r="Q203" s="34"/>
      <c r="R203" s="34"/>
      <c r="S203" s="32" t="str">
        <f t="shared" si="17"/>
        <v/>
      </c>
      <c r="T203" s="32" t="str">
        <f t="shared" si="18"/>
        <v/>
      </c>
      <c r="U203" s="35"/>
      <c r="V203" s="35"/>
      <c r="W203" s="35"/>
      <c r="X203" s="35"/>
      <c r="Y203" s="32" t="str">
        <f t="shared" si="19"/>
        <v/>
      </c>
      <c r="Z203" s="35"/>
      <c r="AA203" s="35"/>
      <c r="AB203" s="35"/>
      <c r="AC203" s="35"/>
      <c r="AD203" s="35"/>
      <c r="AE203" s="35"/>
      <c r="AF203" s="35"/>
      <c r="AG203" s="15" t="s">
        <v>519</v>
      </c>
    </row>
    <row r="204" spans="1:33" ht="22.8" x14ac:dyDescent="0.3">
      <c r="A204" s="30">
        <v>3560</v>
      </c>
      <c r="B204" s="9" t="s">
        <v>233</v>
      </c>
      <c r="C204" s="36">
        <v>2022</v>
      </c>
      <c r="D204" s="9"/>
      <c r="E204" s="9" t="s">
        <v>937</v>
      </c>
      <c r="F204" s="30" t="s">
        <v>314</v>
      </c>
      <c r="G204" s="31" t="s">
        <v>316</v>
      </c>
      <c r="H204" s="31" t="s">
        <v>316</v>
      </c>
      <c r="I204" s="31" t="s">
        <v>316</v>
      </c>
      <c r="J204" s="31" t="s">
        <v>316</v>
      </c>
      <c r="K204" s="31" t="s">
        <v>316</v>
      </c>
      <c r="L204" s="32" t="str">
        <f t="shared" si="15"/>
        <v>INCLUDE</v>
      </c>
      <c r="M204" s="32" t="str">
        <f t="shared" si="16"/>
        <v/>
      </c>
      <c r="N204" s="33" t="s">
        <v>58</v>
      </c>
      <c r="O204" s="33" t="s">
        <v>58</v>
      </c>
      <c r="P204" s="34"/>
      <c r="Q204" s="34"/>
      <c r="R204" s="34"/>
      <c r="S204" s="32" t="str">
        <f t="shared" si="17"/>
        <v/>
      </c>
      <c r="T204" s="32" t="str">
        <f t="shared" si="18"/>
        <v/>
      </c>
      <c r="U204" s="35"/>
      <c r="V204" s="35"/>
      <c r="W204" s="35"/>
      <c r="X204" s="35"/>
      <c r="Y204" s="32" t="str">
        <f t="shared" si="19"/>
        <v/>
      </c>
      <c r="Z204" s="35"/>
      <c r="AA204" s="35"/>
      <c r="AB204" s="35"/>
      <c r="AC204" s="35"/>
      <c r="AD204" s="35"/>
      <c r="AE204" s="35"/>
      <c r="AF204" s="35"/>
      <c r="AG204" s="15" t="s">
        <v>520</v>
      </c>
    </row>
    <row r="205" spans="1:33" ht="102.6" x14ac:dyDescent="0.3">
      <c r="A205" s="30">
        <v>3602</v>
      </c>
      <c r="B205" s="9" t="s">
        <v>234</v>
      </c>
      <c r="C205" s="36">
        <v>2021</v>
      </c>
      <c r="D205" s="9"/>
      <c r="E205" s="9" t="s">
        <v>938</v>
      </c>
      <c r="F205" s="30" t="s">
        <v>314</v>
      </c>
      <c r="G205" s="31" t="s">
        <v>316</v>
      </c>
      <c r="H205" s="31" t="s">
        <v>316</v>
      </c>
      <c r="I205" s="31" t="s">
        <v>316</v>
      </c>
      <c r="J205" s="31" t="s">
        <v>316</v>
      </c>
      <c r="K205" s="31" t="s">
        <v>316</v>
      </c>
      <c r="L205" s="32" t="str">
        <f t="shared" si="15"/>
        <v>INCLUDE</v>
      </c>
      <c r="M205" s="32" t="str">
        <f t="shared" si="16"/>
        <v/>
      </c>
      <c r="N205" s="33" t="s">
        <v>49</v>
      </c>
      <c r="O205" s="33" t="s">
        <v>49</v>
      </c>
      <c r="P205" s="34" t="s">
        <v>49</v>
      </c>
      <c r="Q205" s="34" t="s">
        <v>49</v>
      </c>
      <c r="R205" s="34" t="s">
        <v>49</v>
      </c>
      <c r="S205" s="32" t="str">
        <f t="shared" si="17"/>
        <v>INCLUDE</v>
      </c>
      <c r="T205" s="32" t="str">
        <f t="shared" si="18"/>
        <v/>
      </c>
      <c r="U205" s="35" t="s">
        <v>61</v>
      </c>
      <c r="V205" s="35">
        <v>0</v>
      </c>
      <c r="W205" s="35">
        <v>1</v>
      </c>
      <c r="X205" s="35">
        <v>0</v>
      </c>
      <c r="Y205" s="32" t="str">
        <f t="shared" si="19"/>
        <v>Single</v>
      </c>
      <c r="Z205" s="35" t="s">
        <v>9</v>
      </c>
      <c r="AA205" s="35" t="s">
        <v>53</v>
      </c>
      <c r="AB205" s="35" t="s">
        <v>90</v>
      </c>
      <c r="AC205" s="35" t="s">
        <v>64</v>
      </c>
      <c r="AD205" s="35" t="s">
        <v>72</v>
      </c>
      <c r="AE205" s="35">
        <v>4</v>
      </c>
      <c r="AF205" s="35" t="s">
        <v>84</v>
      </c>
      <c r="AG205" s="15" t="s">
        <v>521</v>
      </c>
    </row>
    <row r="206" spans="1:33" ht="22.8" x14ac:dyDescent="0.3">
      <c r="A206" s="30">
        <v>3573</v>
      </c>
      <c r="B206" s="9" t="s">
        <v>235</v>
      </c>
      <c r="C206" s="36">
        <v>2020</v>
      </c>
      <c r="D206" s="9"/>
      <c r="E206" s="9" t="s">
        <v>939</v>
      </c>
      <c r="F206" s="30" t="s">
        <v>314</v>
      </c>
      <c r="G206" s="31" t="s">
        <v>316</v>
      </c>
      <c r="H206" s="31" t="s">
        <v>316</v>
      </c>
      <c r="I206" s="31" t="s">
        <v>316</v>
      </c>
      <c r="J206" s="31" t="s">
        <v>316</v>
      </c>
      <c r="K206" s="31" t="s">
        <v>316</v>
      </c>
      <c r="L206" s="32" t="str">
        <f t="shared" si="15"/>
        <v>INCLUDE</v>
      </c>
      <c r="M206" s="32" t="str">
        <f t="shared" si="16"/>
        <v/>
      </c>
      <c r="N206" s="33" t="s">
        <v>58</v>
      </c>
      <c r="O206" s="33" t="s">
        <v>58</v>
      </c>
      <c r="P206" s="34"/>
      <c r="Q206" s="34"/>
      <c r="R206" s="34"/>
      <c r="S206" s="32" t="str">
        <f t="shared" si="17"/>
        <v/>
      </c>
      <c r="T206" s="32" t="str">
        <f t="shared" si="18"/>
        <v/>
      </c>
      <c r="U206" s="35"/>
      <c r="V206" s="35"/>
      <c r="W206" s="35"/>
      <c r="X206" s="35"/>
      <c r="Y206" s="32" t="str">
        <f t="shared" si="19"/>
        <v/>
      </c>
      <c r="Z206" s="35"/>
      <c r="AA206" s="35"/>
      <c r="AB206" s="35"/>
      <c r="AC206" s="35"/>
      <c r="AD206" s="35"/>
      <c r="AE206" s="35"/>
      <c r="AF206" s="35"/>
      <c r="AG206" s="15" t="s">
        <v>522</v>
      </c>
    </row>
    <row r="207" spans="1:33" ht="22.8" x14ac:dyDescent="0.3">
      <c r="A207" s="30">
        <v>3749</v>
      </c>
      <c r="B207" s="9"/>
      <c r="C207" s="36"/>
      <c r="D207" s="9"/>
      <c r="E207" s="9" t="s">
        <v>940</v>
      </c>
      <c r="F207" s="30" t="s">
        <v>314</v>
      </c>
      <c r="G207" s="31" t="s">
        <v>316</v>
      </c>
      <c r="H207" s="31" t="s">
        <v>316</v>
      </c>
      <c r="I207" s="31" t="s">
        <v>316</v>
      </c>
      <c r="J207" s="31" t="s">
        <v>316</v>
      </c>
      <c r="K207" s="31" t="s">
        <v>317</v>
      </c>
      <c r="L207" s="32" t="str">
        <f t="shared" si="15"/>
        <v>EXCLUDE</v>
      </c>
      <c r="M207" s="32" t="str">
        <f t="shared" si="16"/>
        <v>Non-English</v>
      </c>
      <c r="N207" s="33"/>
      <c r="O207" s="33"/>
      <c r="P207" s="34"/>
      <c r="Q207" s="34"/>
      <c r="R207" s="34"/>
      <c r="S207" s="32" t="str">
        <f t="shared" si="17"/>
        <v/>
      </c>
      <c r="T207" s="32" t="str">
        <f t="shared" si="18"/>
        <v/>
      </c>
      <c r="U207" s="35"/>
      <c r="V207" s="35"/>
      <c r="W207" s="35"/>
      <c r="X207" s="35"/>
      <c r="Y207" s="32" t="str">
        <f t="shared" si="19"/>
        <v/>
      </c>
      <c r="Z207" s="35"/>
      <c r="AA207" s="35"/>
      <c r="AB207" s="35"/>
      <c r="AC207" s="35"/>
      <c r="AD207" s="35"/>
      <c r="AE207" s="35"/>
      <c r="AF207" s="35"/>
      <c r="AG207" s="15" t="s">
        <v>523</v>
      </c>
    </row>
    <row r="208" spans="1:33" ht="22.8" x14ac:dyDescent="0.3">
      <c r="A208" s="30">
        <v>3669</v>
      </c>
      <c r="B208" s="9" t="s">
        <v>233</v>
      </c>
      <c r="C208" s="36">
        <v>2022</v>
      </c>
      <c r="D208" s="9"/>
      <c r="E208" s="9" t="s">
        <v>941</v>
      </c>
      <c r="F208" s="30" t="s">
        <v>314</v>
      </c>
      <c r="G208" s="31" t="s">
        <v>316</v>
      </c>
      <c r="H208" s="31" t="s">
        <v>316</v>
      </c>
      <c r="I208" s="31" t="s">
        <v>316</v>
      </c>
      <c r="J208" s="31" t="s">
        <v>316</v>
      </c>
      <c r="K208" s="31" t="s">
        <v>316</v>
      </c>
      <c r="L208" s="32" t="str">
        <f t="shared" si="15"/>
        <v>INCLUDE</v>
      </c>
      <c r="M208" s="32" t="str">
        <f t="shared" si="16"/>
        <v/>
      </c>
      <c r="N208" s="33" t="s">
        <v>58</v>
      </c>
      <c r="O208" s="33" t="s">
        <v>58</v>
      </c>
      <c r="P208" s="34"/>
      <c r="Q208" s="34"/>
      <c r="R208" s="34"/>
      <c r="S208" s="32" t="str">
        <f t="shared" si="17"/>
        <v/>
      </c>
      <c r="T208" s="32" t="str">
        <f t="shared" si="18"/>
        <v/>
      </c>
      <c r="U208" s="35"/>
      <c r="V208" s="35"/>
      <c r="W208" s="35"/>
      <c r="X208" s="35"/>
      <c r="Y208" s="32" t="str">
        <f t="shared" si="19"/>
        <v/>
      </c>
      <c r="Z208" s="35"/>
      <c r="AA208" s="35"/>
      <c r="AB208" s="35"/>
      <c r="AC208" s="35"/>
      <c r="AD208" s="35"/>
      <c r="AE208" s="35"/>
      <c r="AF208" s="35"/>
      <c r="AG208" s="15" t="s">
        <v>524</v>
      </c>
    </row>
    <row r="209" spans="1:33" ht="102.6" x14ac:dyDescent="0.3">
      <c r="A209" s="30">
        <v>3641</v>
      </c>
      <c r="B209" s="9" t="s">
        <v>235</v>
      </c>
      <c r="C209" s="36">
        <v>2020</v>
      </c>
      <c r="D209" s="9"/>
      <c r="E209" s="9" t="s">
        <v>942</v>
      </c>
      <c r="F209" s="30" t="s">
        <v>314</v>
      </c>
      <c r="G209" s="31" t="s">
        <v>316</v>
      </c>
      <c r="H209" s="31" t="s">
        <v>316</v>
      </c>
      <c r="I209" s="31" t="s">
        <v>316</v>
      </c>
      <c r="J209" s="31" t="s">
        <v>316</v>
      </c>
      <c r="K209" s="31" t="s">
        <v>316</v>
      </c>
      <c r="L209" s="32" t="str">
        <f t="shared" si="15"/>
        <v>INCLUDE</v>
      </c>
      <c r="M209" s="32" t="str">
        <f t="shared" si="16"/>
        <v/>
      </c>
      <c r="N209" s="33" t="s">
        <v>49</v>
      </c>
      <c r="O209" s="33" t="s">
        <v>49</v>
      </c>
      <c r="P209" s="34" t="s">
        <v>49</v>
      </c>
      <c r="Q209" s="34" t="s">
        <v>49</v>
      </c>
      <c r="R209" s="34" t="s">
        <v>49</v>
      </c>
      <c r="S209" s="32" t="str">
        <f t="shared" si="17"/>
        <v>INCLUDE</v>
      </c>
      <c r="T209" s="32" t="str">
        <f t="shared" si="18"/>
        <v/>
      </c>
      <c r="U209" s="35" t="s">
        <v>61</v>
      </c>
      <c r="V209" s="35">
        <v>0</v>
      </c>
      <c r="W209" s="35">
        <v>0</v>
      </c>
      <c r="X209" s="35">
        <v>1</v>
      </c>
      <c r="Y209" s="32" t="str">
        <f t="shared" si="19"/>
        <v>Single</v>
      </c>
      <c r="Z209" s="35" t="s">
        <v>9</v>
      </c>
      <c r="AA209" s="35" t="s">
        <v>53</v>
      </c>
      <c r="AB209" s="35" t="s">
        <v>92</v>
      </c>
      <c r="AC209" s="35" t="s">
        <v>64</v>
      </c>
      <c r="AD209" s="35" t="s">
        <v>72</v>
      </c>
      <c r="AE209" s="35">
        <v>4</v>
      </c>
      <c r="AF209" s="35" t="s">
        <v>84</v>
      </c>
      <c r="AG209" s="15" t="s">
        <v>525</v>
      </c>
    </row>
    <row r="210" spans="1:33" ht="22.8" x14ac:dyDescent="0.3">
      <c r="A210" s="30">
        <v>3676</v>
      </c>
      <c r="B210" s="9"/>
      <c r="C210" s="36"/>
      <c r="D210" s="9"/>
      <c r="E210" s="9" t="s">
        <v>943</v>
      </c>
      <c r="F210" s="30" t="s">
        <v>314</v>
      </c>
      <c r="G210" s="31" t="s">
        <v>316</v>
      </c>
      <c r="H210" s="31" t="s">
        <v>316</v>
      </c>
      <c r="I210" s="31" t="s">
        <v>316</v>
      </c>
      <c r="J210" s="31" t="s">
        <v>316</v>
      </c>
      <c r="K210" s="31" t="s">
        <v>317</v>
      </c>
      <c r="L210" s="32" t="str">
        <f t="shared" si="15"/>
        <v>EXCLUDE</v>
      </c>
      <c r="M210" s="32" t="str">
        <f t="shared" si="16"/>
        <v>Non-English</v>
      </c>
      <c r="N210" s="33"/>
      <c r="O210" s="33"/>
      <c r="P210" s="34"/>
      <c r="Q210" s="34"/>
      <c r="R210" s="34"/>
      <c r="S210" s="32" t="str">
        <f t="shared" si="17"/>
        <v/>
      </c>
      <c r="T210" s="32" t="str">
        <f t="shared" si="18"/>
        <v/>
      </c>
      <c r="U210" s="35"/>
      <c r="V210" s="35"/>
      <c r="W210" s="35"/>
      <c r="X210" s="35"/>
      <c r="Y210" s="32" t="str">
        <f t="shared" si="19"/>
        <v/>
      </c>
      <c r="Z210" s="35"/>
      <c r="AA210" s="35"/>
      <c r="AB210" s="35"/>
      <c r="AC210" s="35"/>
      <c r="AD210" s="35"/>
      <c r="AE210" s="35"/>
      <c r="AF210" s="35"/>
      <c r="AG210" s="15" t="s">
        <v>526</v>
      </c>
    </row>
    <row r="211" spans="1:33" ht="22.8" x14ac:dyDescent="0.3">
      <c r="A211" s="30">
        <v>3969</v>
      </c>
      <c r="B211" s="9" t="s">
        <v>236</v>
      </c>
      <c r="C211" s="36">
        <v>2025</v>
      </c>
      <c r="D211" s="9"/>
      <c r="E211" s="9" t="s">
        <v>944</v>
      </c>
      <c r="F211" s="30" t="s">
        <v>315</v>
      </c>
      <c r="G211" s="31" t="s">
        <v>316</v>
      </c>
      <c r="H211" s="31" t="s">
        <v>316</v>
      </c>
      <c r="I211" s="31" t="s">
        <v>316</v>
      </c>
      <c r="J211" s="31" t="s">
        <v>316</v>
      </c>
      <c r="K211" s="31" t="s">
        <v>316</v>
      </c>
      <c r="L211" s="32" t="str">
        <f t="shared" si="15"/>
        <v>INCLUDE</v>
      </c>
      <c r="M211" s="32" t="str">
        <f t="shared" si="16"/>
        <v/>
      </c>
      <c r="N211" s="33" t="s">
        <v>58</v>
      </c>
      <c r="O211" s="33" t="s">
        <v>58</v>
      </c>
      <c r="P211" s="34"/>
      <c r="Q211" s="34"/>
      <c r="R211" s="34"/>
      <c r="S211" s="32" t="str">
        <f t="shared" si="17"/>
        <v/>
      </c>
      <c r="T211" s="32" t="str">
        <f t="shared" si="18"/>
        <v/>
      </c>
      <c r="U211" s="35"/>
      <c r="V211" s="35"/>
      <c r="W211" s="35"/>
      <c r="X211" s="35"/>
      <c r="Y211" s="32" t="str">
        <f t="shared" si="19"/>
        <v/>
      </c>
      <c r="Z211" s="35"/>
      <c r="AA211" s="35"/>
      <c r="AB211" s="35"/>
      <c r="AC211" s="35"/>
      <c r="AD211" s="35"/>
      <c r="AE211" s="35"/>
      <c r="AF211" s="35"/>
      <c r="AG211" s="15" t="s">
        <v>527</v>
      </c>
    </row>
    <row r="212" spans="1:33" ht="22.8" x14ac:dyDescent="0.3">
      <c r="A212" s="30">
        <v>3952</v>
      </c>
      <c r="B212" s="9" t="s">
        <v>236</v>
      </c>
      <c r="C212" s="36">
        <v>2025</v>
      </c>
      <c r="D212" s="9"/>
      <c r="E212" s="9" t="s">
        <v>945</v>
      </c>
      <c r="F212" s="30" t="s">
        <v>315</v>
      </c>
      <c r="G212" s="31" t="s">
        <v>316</v>
      </c>
      <c r="H212" s="31" t="s">
        <v>316</v>
      </c>
      <c r="I212" s="31" t="s">
        <v>316</v>
      </c>
      <c r="J212" s="31" t="s">
        <v>316</v>
      </c>
      <c r="K212" s="31" t="s">
        <v>316</v>
      </c>
      <c r="L212" s="32" t="str">
        <f t="shared" si="15"/>
        <v>INCLUDE</v>
      </c>
      <c r="M212" s="32" t="str">
        <f t="shared" si="16"/>
        <v/>
      </c>
      <c r="N212" s="33" t="s">
        <v>58</v>
      </c>
      <c r="O212" s="33" t="s">
        <v>58</v>
      </c>
      <c r="P212" s="34"/>
      <c r="Q212" s="34"/>
      <c r="R212" s="34"/>
      <c r="S212" s="32" t="str">
        <f t="shared" si="17"/>
        <v/>
      </c>
      <c r="T212" s="32" t="str">
        <f t="shared" si="18"/>
        <v/>
      </c>
      <c r="U212" s="35"/>
      <c r="V212" s="35"/>
      <c r="W212" s="35"/>
      <c r="X212" s="35"/>
      <c r="Y212" s="32" t="str">
        <f t="shared" si="19"/>
        <v/>
      </c>
      <c r="Z212" s="35"/>
      <c r="AA212" s="35"/>
      <c r="AB212" s="35"/>
      <c r="AC212" s="35"/>
      <c r="AD212" s="35"/>
      <c r="AE212" s="35"/>
      <c r="AF212" s="35"/>
      <c r="AG212" s="15" t="s">
        <v>528</v>
      </c>
    </row>
    <row r="213" spans="1:33" ht="22.8" x14ac:dyDescent="0.3">
      <c r="A213" s="30">
        <v>4013</v>
      </c>
      <c r="B213" s="9"/>
      <c r="C213" s="36"/>
      <c r="D213" s="9"/>
      <c r="E213" s="9" t="s">
        <v>946</v>
      </c>
      <c r="F213" s="30" t="s">
        <v>315</v>
      </c>
      <c r="G213" s="31" t="s">
        <v>316</v>
      </c>
      <c r="H213" s="31" t="s">
        <v>317</v>
      </c>
      <c r="I213" s="31" t="s">
        <v>317</v>
      </c>
      <c r="J213" s="31" t="s">
        <v>316</v>
      </c>
      <c r="K213" s="31" t="s">
        <v>316</v>
      </c>
      <c r="L213" s="32" t="str">
        <f t="shared" si="15"/>
        <v>EXCLUDE</v>
      </c>
      <c r="M213" s="32" t="str">
        <f t="shared" si="16"/>
        <v>Digital Twin not core / buzzword</v>
      </c>
      <c r="N213" s="33"/>
      <c r="O213" s="33"/>
      <c r="P213" s="34"/>
      <c r="Q213" s="34"/>
      <c r="R213" s="34"/>
      <c r="S213" s="32" t="str">
        <f t="shared" si="17"/>
        <v/>
      </c>
      <c r="T213" s="32" t="str">
        <f t="shared" si="18"/>
        <v/>
      </c>
      <c r="U213" s="35"/>
      <c r="V213" s="35"/>
      <c r="W213" s="35"/>
      <c r="X213" s="35"/>
      <c r="Y213" s="32" t="str">
        <f t="shared" si="19"/>
        <v/>
      </c>
      <c r="Z213" s="35"/>
      <c r="AA213" s="35"/>
      <c r="AB213" s="35"/>
      <c r="AC213" s="35"/>
      <c r="AD213" s="35"/>
      <c r="AE213" s="35"/>
      <c r="AF213" s="35"/>
      <c r="AG213" s="15" t="s">
        <v>529</v>
      </c>
    </row>
    <row r="214" spans="1:33" ht="22.8" x14ac:dyDescent="0.3">
      <c r="A214" s="30">
        <v>3597</v>
      </c>
      <c r="B214" s="9"/>
      <c r="C214" s="36"/>
      <c r="D214" s="9"/>
      <c r="E214" s="9" t="s">
        <v>947</v>
      </c>
      <c r="F214" s="30" t="s">
        <v>314</v>
      </c>
      <c r="G214" s="31" t="s">
        <v>316</v>
      </c>
      <c r="H214" s="31" t="s">
        <v>316</v>
      </c>
      <c r="I214" s="31" t="s">
        <v>316</v>
      </c>
      <c r="J214" s="31" t="s">
        <v>316</v>
      </c>
      <c r="K214" s="31" t="s">
        <v>317</v>
      </c>
      <c r="L214" s="32" t="str">
        <f t="shared" si="15"/>
        <v>EXCLUDE</v>
      </c>
      <c r="M214" s="32" t="str">
        <f t="shared" si="16"/>
        <v>Non-English</v>
      </c>
      <c r="N214" s="33"/>
      <c r="O214" s="33"/>
      <c r="P214" s="34"/>
      <c r="Q214" s="34"/>
      <c r="R214" s="34"/>
      <c r="S214" s="32" t="str">
        <f t="shared" si="17"/>
        <v/>
      </c>
      <c r="T214" s="32" t="str">
        <f t="shared" si="18"/>
        <v/>
      </c>
      <c r="U214" s="35"/>
      <c r="V214" s="35"/>
      <c r="W214" s="35"/>
      <c r="X214" s="35"/>
      <c r="Y214" s="32" t="str">
        <f t="shared" si="19"/>
        <v/>
      </c>
      <c r="Z214" s="35"/>
      <c r="AA214" s="35"/>
      <c r="AB214" s="35"/>
      <c r="AC214" s="35"/>
      <c r="AD214" s="35"/>
      <c r="AE214" s="35"/>
      <c r="AF214" s="35"/>
      <c r="AG214" s="15" t="s">
        <v>526</v>
      </c>
    </row>
    <row r="215" spans="1:33" ht="22.8" x14ac:dyDescent="0.3">
      <c r="A215" s="30">
        <v>3887</v>
      </c>
      <c r="B215" s="9"/>
      <c r="C215" s="36"/>
      <c r="D215" s="9"/>
      <c r="E215" s="9" t="s">
        <v>948</v>
      </c>
      <c r="F215" s="30" t="s">
        <v>315</v>
      </c>
      <c r="G215" s="31" t="s">
        <v>317</v>
      </c>
      <c r="H215" s="31" t="s">
        <v>316</v>
      </c>
      <c r="I215" s="31" t="s">
        <v>316</v>
      </c>
      <c r="J215" s="31" t="s">
        <v>316</v>
      </c>
      <c r="K215" s="31" t="s">
        <v>316</v>
      </c>
      <c r="L215" s="32" t="str">
        <f t="shared" si="15"/>
        <v>EXCLUDE</v>
      </c>
      <c r="M215" s="32" t="str">
        <f t="shared" si="16"/>
        <v>Wrong domain (non-AECO)</v>
      </c>
      <c r="N215" s="33"/>
      <c r="O215" s="33"/>
      <c r="P215" s="34"/>
      <c r="Q215" s="34"/>
      <c r="R215" s="34"/>
      <c r="S215" s="32" t="str">
        <f t="shared" si="17"/>
        <v/>
      </c>
      <c r="T215" s="32" t="str">
        <f t="shared" si="18"/>
        <v/>
      </c>
      <c r="U215" s="35"/>
      <c r="V215" s="35"/>
      <c r="W215" s="35"/>
      <c r="X215" s="35"/>
      <c r="Y215" s="32" t="str">
        <f t="shared" si="19"/>
        <v/>
      </c>
      <c r="Z215" s="35"/>
      <c r="AA215" s="35"/>
      <c r="AB215" s="35"/>
      <c r="AC215" s="35"/>
      <c r="AD215" s="35"/>
      <c r="AE215" s="35"/>
      <c r="AF215" s="35"/>
      <c r="AG215" s="15" t="s">
        <v>530</v>
      </c>
    </row>
    <row r="216" spans="1:33" ht="22.8" x14ac:dyDescent="0.3">
      <c r="A216" s="30">
        <v>3992</v>
      </c>
      <c r="B216" s="9"/>
      <c r="C216" s="36"/>
      <c r="D216" s="9"/>
      <c r="E216" s="9" t="s">
        <v>949</v>
      </c>
      <c r="F216" s="30" t="s">
        <v>315</v>
      </c>
      <c r="G216" s="31" t="s">
        <v>316</v>
      </c>
      <c r="H216" s="31" t="s">
        <v>316</v>
      </c>
      <c r="I216" s="31" t="s">
        <v>317</v>
      </c>
      <c r="J216" s="31" t="s">
        <v>316</v>
      </c>
      <c r="K216" s="31" t="s">
        <v>316</v>
      </c>
      <c r="L216" s="32" t="str">
        <f t="shared" si="15"/>
        <v>EXCLUDE</v>
      </c>
      <c r="M216" s="32" t="str">
        <f t="shared" si="16"/>
        <v>No Design for Safety/Quality/PtD</v>
      </c>
      <c r="N216" s="33"/>
      <c r="O216" s="33"/>
      <c r="P216" s="34"/>
      <c r="Q216" s="34"/>
      <c r="R216" s="34"/>
      <c r="S216" s="32" t="str">
        <f t="shared" si="17"/>
        <v/>
      </c>
      <c r="T216" s="32" t="str">
        <f t="shared" si="18"/>
        <v/>
      </c>
      <c r="U216" s="35"/>
      <c r="V216" s="35"/>
      <c r="W216" s="35"/>
      <c r="X216" s="35"/>
      <c r="Y216" s="32" t="str">
        <f t="shared" si="19"/>
        <v/>
      </c>
      <c r="Z216" s="35"/>
      <c r="AA216" s="35"/>
      <c r="AB216" s="35"/>
      <c r="AC216" s="35"/>
      <c r="AD216" s="35"/>
      <c r="AE216" s="35"/>
      <c r="AF216" s="35"/>
      <c r="AG216" s="15" t="s">
        <v>531</v>
      </c>
    </row>
    <row r="217" spans="1:33" ht="22.8" x14ac:dyDescent="0.3">
      <c r="A217" s="30">
        <v>3766</v>
      </c>
      <c r="B217" s="9"/>
      <c r="C217" s="36"/>
      <c r="D217" s="9"/>
      <c r="E217" s="9" t="s">
        <v>950</v>
      </c>
      <c r="F217" s="30" t="s">
        <v>314</v>
      </c>
      <c r="G217" s="31" t="s">
        <v>316</v>
      </c>
      <c r="H217" s="31" t="s">
        <v>317</v>
      </c>
      <c r="I217" s="31" t="s">
        <v>316</v>
      </c>
      <c r="J217" s="31" t="s">
        <v>316</v>
      </c>
      <c r="K217" s="31" t="s">
        <v>316</v>
      </c>
      <c r="L217" s="32" t="str">
        <f t="shared" si="15"/>
        <v>EXCLUDE</v>
      </c>
      <c r="M217" s="32" t="str">
        <f t="shared" si="16"/>
        <v>Digital Twin not core / buzzword</v>
      </c>
      <c r="N217" s="33"/>
      <c r="O217" s="33"/>
      <c r="P217" s="34"/>
      <c r="Q217" s="34"/>
      <c r="R217" s="34"/>
      <c r="S217" s="32" t="str">
        <f t="shared" si="17"/>
        <v/>
      </c>
      <c r="T217" s="32" t="str">
        <f t="shared" si="18"/>
        <v/>
      </c>
      <c r="U217" s="35"/>
      <c r="V217" s="35"/>
      <c r="W217" s="35"/>
      <c r="X217" s="35"/>
      <c r="Y217" s="32" t="str">
        <f t="shared" si="19"/>
        <v/>
      </c>
      <c r="Z217" s="35"/>
      <c r="AA217" s="35"/>
      <c r="AB217" s="35"/>
      <c r="AC217" s="35"/>
      <c r="AD217" s="35"/>
      <c r="AE217" s="35"/>
      <c r="AF217" s="35"/>
      <c r="AG217" s="15" t="s">
        <v>532</v>
      </c>
    </row>
    <row r="218" spans="1:33" ht="22.8" x14ac:dyDescent="0.3">
      <c r="A218" s="30">
        <v>4006</v>
      </c>
      <c r="B218" s="9"/>
      <c r="C218" s="36"/>
      <c r="D218" s="9"/>
      <c r="E218" s="9" t="s">
        <v>951</v>
      </c>
      <c r="F218" s="30" t="s">
        <v>315</v>
      </c>
      <c r="G218" s="31" t="s">
        <v>316</v>
      </c>
      <c r="H218" s="31" t="s">
        <v>317</v>
      </c>
      <c r="I218" s="31" t="s">
        <v>316</v>
      </c>
      <c r="J218" s="31" t="s">
        <v>316</v>
      </c>
      <c r="K218" s="31" t="s">
        <v>316</v>
      </c>
      <c r="L218" s="32" t="str">
        <f t="shared" si="15"/>
        <v>EXCLUDE</v>
      </c>
      <c r="M218" s="32" t="str">
        <f t="shared" si="16"/>
        <v>Digital Twin not core / buzzword</v>
      </c>
      <c r="N218" s="33"/>
      <c r="O218" s="33"/>
      <c r="P218" s="34"/>
      <c r="Q218" s="34"/>
      <c r="R218" s="34"/>
      <c r="S218" s="32" t="str">
        <f t="shared" si="17"/>
        <v/>
      </c>
      <c r="T218" s="32" t="str">
        <f t="shared" si="18"/>
        <v/>
      </c>
      <c r="U218" s="35"/>
      <c r="V218" s="35"/>
      <c r="W218" s="35"/>
      <c r="X218" s="35"/>
      <c r="Y218" s="32" t="str">
        <f t="shared" si="19"/>
        <v/>
      </c>
      <c r="Z218" s="35"/>
      <c r="AA218" s="35"/>
      <c r="AB218" s="35"/>
      <c r="AC218" s="35"/>
      <c r="AD218" s="35"/>
      <c r="AE218" s="35"/>
      <c r="AF218" s="35"/>
      <c r="AG218" s="15" t="s">
        <v>533</v>
      </c>
    </row>
    <row r="219" spans="1:33" ht="22.8" x14ac:dyDescent="0.3">
      <c r="A219" s="30">
        <v>3925</v>
      </c>
      <c r="B219" s="9"/>
      <c r="C219" s="36"/>
      <c r="D219" s="9"/>
      <c r="E219" s="9" t="s">
        <v>952</v>
      </c>
      <c r="F219" s="30" t="s">
        <v>315</v>
      </c>
      <c r="G219" s="31" t="s">
        <v>316</v>
      </c>
      <c r="H219" s="31" t="s">
        <v>317</v>
      </c>
      <c r="I219" s="31" t="s">
        <v>316</v>
      </c>
      <c r="J219" s="31" t="s">
        <v>316</v>
      </c>
      <c r="K219" s="31" t="s">
        <v>316</v>
      </c>
      <c r="L219" s="32" t="str">
        <f t="shared" si="15"/>
        <v>EXCLUDE</v>
      </c>
      <c r="M219" s="32" t="str">
        <f t="shared" si="16"/>
        <v>Digital Twin not core / buzzword</v>
      </c>
      <c r="N219" s="33"/>
      <c r="O219" s="33"/>
      <c r="P219" s="34"/>
      <c r="Q219" s="34"/>
      <c r="R219" s="34"/>
      <c r="S219" s="32" t="str">
        <f t="shared" si="17"/>
        <v/>
      </c>
      <c r="T219" s="32" t="str">
        <f t="shared" si="18"/>
        <v/>
      </c>
      <c r="U219" s="35"/>
      <c r="V219" s="35"/>
      <c r="W219" s="35"/>
      <c r="X219" s="35"/>
      <c r="Y219" s="32" t="str">
        <f t="shared" si="19"/>
        <v/>
      </c>
      <c r="Z219" s="35"/>
      <c r="AA219" s="35"/>
      <c r="AB219" s="35"/>
      <c r="AC219" s="35"/>
      <c r="AD219" s="35"/>
      <c r="AE219" s="35"/>
      <c r="AF219" s="35"/>
      <c r="AG219" s="15" t="s">
        <v>534</v>
      </c>
    </row>
    <row r="220" spans="1:33" ht="102.6" x14ac:dyDescent="0.3">
      <c r="A220" s="30">
        <v>3606</v>
      </c>
      <c r="B220" s="9" t="s">
        <v>237</v>
      </c>
      <c r="C220" s="36">
        <v>2024</v>
      </c>
      <c r="D220" s="9"/>
      <c r="E220" s="9" t="s">
        <v>953</v>
      </c>
      <c r="F220" s="30" t="s">
        <v>314</v>
      </c>
      <c r="G220" s="31" t="s">
        <v>316</v>
      </c>
      <c r="H220" s="31" t="s">
        <v>316</v>
      </c>
      <c r="I220" s="31" t="s">
        <v>316</v>
      </c>
      <c r="J220" s="31" t="s">
        <v>316</v>
      </c>
      <c r="K220" s="31" t="s">
        <v>316</v>
      </c>
      <c r="L220" s="32" t="str">
        <f t="shared" si="15"/>
        <v>INCLUDE</v>
      </c>
      <c r="M220" s="32" t="str">
        <f t="shared" si="16"/>
        <v/>
      </c>
      <c r="N220" s="33" t="s">
        <v>49</v>
      </c>
      <c r="O220" s="33" t="s">
        <v>49</v>
      </c>
      <c r="P220" s="34" t="s">
        <v>49</v>
      </c>
      <c r="Q220" s="34" t="s">
        <v>49</v>
      </c>
      <c r="R220" s="34" t="s">
        <v>49</v>
      </c>
      <c r="S220" s="32" t="str">
        <f t="shared" si="17"/>
        <v>INCLUDE</v>
      </c>
      <c r="T220" s="32" t="str">
        <f t="shared" si="18"/>
        <v/>
      </c>
      <c r="U220" s="35" t="s">
        <v>52</v>
      </c>
      <c r="V220" s="35">
        <v>0</v>
      </c>
      <c r="W220" s="35">
        <v>0</v>
      </c>
      <c r="X220" s="35">
        <v>1</v>
      </c>
      <c r="Y220" s="32" t="str">
        <f t="shared" si="19"/>
        <v>Single</v>
      </c>
      <c r="Z220" s="35" t="s">
        <v>9</v>
      </c>
      <c r="AA220" s="35" t="s">
        <v>53</v>
      </c>
      <c r="AB220" s="35" t="s">
        <v>91</v>
      </c>
      <c r="AC220" s="35" t="s">
        <v>64</v>
      </c>
      <c r="AD220" s="35" t="s">
        <v>72</v>
      </c>
      <c r="AE220" s="35">
        <v>3</v>
      </c>
      <c r="AF220" s="35" t="s">
        <v>76</v>
      </c>
      <c r="AG220" s="15" t="s">
        <v>535</v>
      </c>
    </row>
    <row r="221" spans="1:33" ht="22.8" x14ac:dyDescent="0.3">
      <c r="A221" s="30">
        <v>3698</v>
      </c>
      <c r="B221" s="9"/>
      <c r="C221" s="36"/>
      <c r="D221" s="9"/>
      <c r="E221" s="9" t="s">
        <v>954</v>
      </c>
      <c r="F221" s="30" t="s">
        <v>314</v>
      </c>
      <c r="G221" s="31" t="s">
        <v>316</v>
      </c>
      <c r="H221" s="31" t="s">
        <v>316</v>
      </c>
      <c r="I221" s="31" t="s">
        <v>316</v>
      </c>
      <c r="J221" s="31" t="s">
        <v>316</v>
      </c>
      <c r="K221" s="31" t="s">
        <v>317</v>
      </c>
      <c r="L221" s="32" t="str">
        <f t="shared" si="15"/>
        <v>EXCLUDE</v>
      </c>
      <c r="M221" s="32" t="str">
        <f t="shared" si="16"/>
        <v>Non-English</v>
      </c>
      <c r="N221" s="33"/>
      <c r="O221" s="33"/>
      <c r="P221" s="34"/>
      <c r="Q221" s="34"/>
      <c r="R221" s="34"/>
      <c r="S221" s="32" t="str">
        <f t="shared" si="17"/>
        <v/>
      </c>
      <c r="T221" s="32" t="str">
        <f t="shared" si="18"/>
        <v/>
      </c>
      <c r="U221" s="35"/>
      <c r="V221" s="35"/>
      <c r="W221" s="35"/>
      <c r="X221" s="35"/>
      <c r="Y221" s="32" t="str">
        <f t="shared" si="19"/>
        <v/>
      </c>
      <c r="Z221" s="35"/>
      <c r="AA221" s="35"/>
      <c r="AB221" s="35"/>
      <c r="AC221" s="35"/>
      <c r="AD221" s="35"/>
      <c r="AE221" s="35"/>
      <c r="AF221" s="35"/>
      <c r="AG221" s="15" t="s">
        <v>536</v>
      </c>
    </row>
    <row r="222" spans="1:33" ht="22.8" x14ac:dyDescent="0.3">
      <c r="A222" s="30">
        <v>3894</v>
      </c>
      <c r="B222" s="9" t="s">
        <v>238</v>
      </c>
      <c r="C222" s="36">
        <v>2026</v>
      </c>
      <c r="D222" s="9"/>
      <c r="E222" s="9" t="s">
        <v>955</v>
      </c>
      <c r="F222" s="30" t="s">
        <v>315</v>
      </c>
      <c r="G222" s="31" t="s">
        <v>316</v>
      </c>
      <c r="H222" s="31" t="s">
        <v>316</v>
      </c>
      <c r="I222" s="31" t="s">
        <v>316</v>
      </c>
      <c r="J222" s="31" t="s">
        <v>316</v>
      </c>
      <c r="K222" s="31" t="s">
        <v>316</v>
      </c>
      <c r="L222" s="32" t="str">
        <f t="shared" si="15"/>
        <v>INCLUDE</v>
      </c>
      <c r="M222" s="32" t="str">
        <f t="shared" si="16"/>
        <v/>
      </c>
      <c r="N222" s="33" t="s">
        <v>58</v>
      </c>
      <c r="O222" s="33" t="s">
        <v>58</v>
      </c>
      <c r="P222" s="34"/>
      <c r="Q222" s="34"/>
      <c r="R222" s="34"/>
      <c r="S222" s="32" t="str">
        <f t="shared" si="17"/>
        <v/>
      </c>
      <c r="T222" s="32" t="str">
        <f t="shared" si="18"/>
        <v/>
      </c>
      <c r="U222" s="35"/>
      <c r="V222" s="35"/>
      <c r="W222" s="35"/>
      <c r="X222" s="35"/>
      <c r="Y222" s="32" t="str">
        <f t="shared" si="19"/>
        <v/>
      </c>
      <c r="Z222" s="35"/>
      <c r="AA222" s="35"/>
      <c r="AB222" s="35"/>
      <c r="AC222" s="35"/>
      <c r="AD222" s="35"/>
      <c r="AE222" s="35"/>
      <c r="AF222" s="35"/>
      <c r="AG222" s="15" t="s">
        <v>537</v>
      </c>
    </row>
    <row r="223" spans="1:33" ht="22.8" x14ac:dyDescent="0.3">
      <c r="A223" s="30">
        <v>3638</v>
      </c>
      <c r="B223" s="9"/>
      <c r="C223" s="36"/>
      <c r="D223" s="9"/>
      <c r="E223" s="9" t="s">
        <v>956</v>
      </c>
      <c r="F223" s="30" t="s">
        <v>314</v>
      </c>
      <c r="G223" s="31" t="s">
        <v>316</v>
      </c>
      <c r="H223" s="31" t="s">
        <v>316</v>
      </c>
      <c r="I223" s="31" t="s">
        <v>317</v>
      </c>
      <c r="J223" s="31" t="s">
        <v>316</v>
      </c>
      <c r="K223" s="31" t="s">
        <v>316</v>
      </c>
      <c r="L223" s="32" t="str">
        <f t="shared" si="15"/>
        <v>EXCLUDE</v>
      </c>
      <c r="M223" s="32" t="str">
        <f t="shared" si="16"/>
        <v>No Design for Safety/Quality/PtD</v>
      </c>
      <c r="N223" s="33"/>
      <c r="O223" s="33"/>
      <c r="P223" s="34"/>
      <c r="Q223" s="34"/>
      <c r="R223" s="34"/>
      <c r="S223" s="32" t="str">
        <f t="shared" si="17"/>
        <v/>
      </c>
      <c r="T223" s="32" t="str">
        <f t="shared" si="18"/>
        <v/>
      </c>
      <c r="U223" s="35"/>
      <c r="V223" s="35"/>
      <c r="W223" s="35"/>
      <c r="X223" s="35"/>
      <c r="Y223" s="32" t="str">
        <f t="shared" si="19"/>
        <v/>
      </c>
      <c r="Z223" s="35"/>
      <c r="AA223" s="35"/>
      <c r="AB223" s="35"/>
      <c r="AC223" s="35"/>
      <c r="AD223" s="35"/>
      <c r="AE223" s="35"/>
      <c r="AF223" s="35"/>
      <c r="AG223" s="15" t="s">
        <v>538</v>
      </c>
    </row>
    <row r="224" spans="1:33" ht="22.8" x14ac:dyDescent="0.3">
      <c r="A224" s="30">
        <v>3688</v>
      </c>
      <c r="B224" s="9"/>
      <c r="C224" s="36"/>
      <c r="D224" s="9"/>
      <c r="E224" s="9" t="s">
        <v>957</v>
      </c>
      <c r="F224" s="30" t="s">
        <v>314</v>
      </c>
      <c r="G224" s="31" t="s">
        <v>316</v>
      </c>
      <c r="H224" s="31" t="s">
        <v>317</v>
      </c>
      <c r="I224" s="31" t="s">
        <v>316</v>
      </c>
      <c r="J224" s="31" t="s">
        <v>316</v>
      </c>
      <c r="K224" s="31" t="s">
        <v>316</v>
      </c>
      <c r="L224" s="32" t="str">
        <f t="shared" si="15"/>
        <v>EXCLUDE</v>
      </c>
      <c r="M224" s="32" t="str">
        <f t="shared" si="16"/>
        <v>Digital Twin not core / buzzword</v>
      </c>
      <c r="N224" s="33"/>
      <c r="O224" s="33"/>
      <c r="P224" s="34"/>
      <c r="Q224" s="34"/>
      <c r="R224" s="34"/>
      <c r="S224" s="32" t="str">
        <f t="shared" si="17"/>
        <v/>
      </c>
      <c r="T224" s="32" t="str">
        <f t="shared" si="18"/>
        <v/>
      </c>
      <c r="U224" s="35"/>
      <c r="V224" s="35"/>
      <c r="W224" s="35"/>
      <c r="X224" s="35"/>
      <c r="Y224" s="32" t="str">
        <f t="shared" si="19"/>
        <v/>
      </c>
      <c r="Z224" s="35"/>
      <c r="AA224" s="35"/>
      <c r="AB224" s="35"/>
      <c r="AC224" s="35"/>
      <c r="AD224" s="35"/>
      <c r="AE224" s="35"/>
      <c r="AF224" s="35"/>
      <c r="AG224" s="15" t="s">
        <v>539</v>
      </c>
    </row>
    <row r="225" spans="1:33" ht="22.8" x14ac:dyDescent="0.3">
      <c r="A225" s="30">
        <v>3995</v>
      </c>
      <c r="B225" s="9"/>
      <c r="C225" s="36"/>
      <c r="D225" s="9"/>
      <c r="E225" s="9" t="s">
        <v>957</v>
      </c>
      <c r="F225" s="30" t="s">
        <v>315</v>
      </c>
      <c r="G225" s="31" t="s">
        <v>316</v>
      </c>
      <c r="H225" s="31" t="s">
        <v>317</v>
      </c>
      <c r="I225" s="31" t="s">
        <v>316</v>
      </c>
      <c r="J225" s="31" t="s">
        <v>316</v>
      </c>
      <c r="K225" s="31" t="s">
        <v>316</v>
      </c>
      <c r="L225" s="32" t="str">
        <f t="shared" si="15"/>
        <v>EXCLUDE</v>
      </c>
      <c r="M225" s="32" t="str">
        <f t="shared" si="16"/>
        <v>Digital Twin not core / buzzword</v>
      </c>
      <c r="N225" s="33"/>
      <c r="O225" s="33"/>
      <c r="P225" s="34"/>
      <c r="Q225" s="34"/>
      <c r="R225" s="34"/>
      <c r="S225" s="32" t="str">
        <f t="shared" si="17"/>
        <v/>
      </c>
      <c r="T225" s="32" t="str">
        <f t="shared" si="18"/>
        <v/>
      </c>
      <c r="U225" s="35"/>
      <c r="V225" s="35"/>
      <c r="W225" s="35"/>
      <c r="X225" s="35"/>
      <c r="Y225" s="32" t="str">
        <f t="shared" si="19"/>
        <v/>
      </c>
      <c r="Z225" s="35"/>
      <c r="AA225" s="35"/>
      <c r="AB225" s="35"/>
      <c r="AC225" s="35"/>
      <c r="AD225" s="35"/>
      <c r="AE225" s="35"/>
      <c r="AF225" s="35"/>
      <c r="AG225" s="15" t="s">
        <v>540</v>
      </c>
    </row>
    <row r="226" spans="1:33" ht="22.8" x14ac:dyDescent="0.3">
      <c r="A226" s="30">
        <v>3986</v>
      </c>
      <c r="B226" s="9" t="s">
        <v>239</v>
      </c>
      <c r="C226" s="36">
        <v>2024</v>
      </c>
      <c r="D226" s="9"/>
      <c r="E226" s="9" t="s">
        <v>958</v>
      </c>
      <c r="F226" s="30" t="s">
        <v>315</v>
      </c>
      <c r="G226" s="31" t="s">
        <v>316</v>
      </c>
      <c r="H226" s="31" t="s">
        <v>316</v>
      </c>
      <c r="I226" s="31" t="s">
        <v>316</v>
      </c>
      <c r="J226" s="31" t="s">
        <v>316</v>
      </c>
      <c r="K226" s="31" t="s">
        <v>316</v>
      </c>
      <c r="L226" s="32" t="str">
        <f t="shared" si="15"/>
        <v>INCLUDE</v>
      </c>
      <c r="M226" s="32" t="str">
        <f t="shared" si="16"/>
        <v/>
      </c>
      <c r="N226" s="33" t="s">
        <v>58</v>
      </c>
      <c r="O226" s="33" t="s">
        <v>58</v>
      </c>
      <c r="P226" s="34"/>
      <c r="Q226" s="34"/>
      <c r="R226" s="34"/>
      <c r="S226" s="32" t="str">
        <f t="shared" si="17"/>
        <v/>
      </c>
      <c r="T226" s="32" t="str">
        <f t="shared" si="18"/>
        <v/>
      </c>
      <c r="U226" s="35"/>
      <c r="V226" s="35"/>
      <c r="W226" s="35"/>
      <c r="X226" s="35"/>
      <c r="Y226" s="32" t="str">
        <f t="shared" si="19"/>
        <v/>
      </c>
      <c r="Z226" s="35"/>
      <c r="AA226" s="35"/>
      <c r="AB226" s="35"/>
      <c r="AC226" s="35"/>
      <c r="AD226" s="35"/>
      <c r="AE226" s="35"/>
      <c r="AF226" s="35"/>
      <c r="AG226" s="15" t="s">
        <v>541</v>
      </c>
    </row>
    <row r="227" spans="1:33" ht="22.8" x14ac:dyDescent="0.3">
      <c r="A227" s="30">
        <v>3965</v>
      </c>
      <c r="B227" s="9" t="s">
        <v>240</v>
      </c>
      <c r="C227" s="36">
        <v>2025</v>
      </c>
      <c r="D227" s="9"/>
      <c r="E227" s="9" t="s">
        <v>959</v>
      </c>
      <c r="F227" s="30" t="s">
        <v>315</v>
      </c>
      <c r="G227" s="31" t="s">
        <v>316</v>
      </c>
      <c r="H227" s="31" t="s">
        <v>316</v>
      </c>
      <c r="I227" s="31" t="s">
        <v>316</v>
      </c>
      <c r="J227" s="31" t="s">
        <v>316</v>
      </c>
      <c r="K227" s="31" t="s">
        <v>316</v>
      </c>
      <c r="L227" s="32" t="str">
        <f t="shared" si="15"/>
        <v>INCLUDE</v>
      </c>
      <c r="M227" s="32" t="str">
        <f t="shared" si="16"/>
        <v/>
      </c>
      <c r="N227" s="33" t="s">
        <v>58</v>
      </c>
      <c r="O227" s="33" t="s">
        <v>58</v>
      </c>
      <c r="P227" s="34"/>
      <c r="Q227" s="34"/>
      <c r="R227" s="34"/>
      <c r="S227" s="32" t="str">
        <f t="shared" si="17"/>
        <v/>
      </c>
      <c r="T227" s="32" t="str">
        <f t="shared" si="18"/>
        <v/>
      </c>
      <c r="U227" s="35"/>
      <c r="V227" s="35"/>
      <c r="W227" s="35"/>
      <c r="X227" s="35"/>
      <c r="Y227" s="32" t="str">
        <f t="shared" si="19"/>
        <v/>
      </c>
      <c r="Z227" s="35"/>
      <c r="AA227" s="35"/>
      <c r="AB227" s="35"/>
      <c r="AC227" s="35"/>
      <c r="AD227" s="35"/>
      <c r="AE227" s="35"/>
      <c r="AF227" s="35"/>
      <c r="AG227" s="15" t="s">
        <v>542</v>
      </c>
    </row>
    <row r="228" spans="1:33" ht="22.8" x14ac:dyDescent="0.3">
      <c r="A228" s="30">
        <v>3805</v>
      </c>
      <c r="B228" s="9"/>
      <c r="C228" s="36"/>
      <c r="D228" s="9"/>
      <c r="E228" s="9" t="s">
        <v>960</v>
      </c>
      <c r="F228" s="30" t="s">
        <v>314</v>
      </c>
      <c r="G228" s="31" t="s">
        <v>317</v>
      </c>
      <c r="H228" s="31" t="s">
        <v>316</v>
      </c>
      <c r="I228" s="31" t="s">
        <v>317</v>
      </c>
      <c r="J228" s="31" t="s">
        <v>316</v>
      </c>
      <c r="K228" s="31" t="s">
        <v>316</v>
      </c>
      <c r="L228" s="32" t="str">
        <f t="shared" si="15"/>
        <v>EXCLUDE</v>
      </c>
      <c r="M228" s="32" t="str">
        <f t="shared" si="16"/>
        <v>Wrong domain (non-AECO)</v>
      </c>
      <c r="N228" s="33"/>
      <c r="O228" s="33"/>
      <c r="P228" s="34"/>
      <c r="Q228" s="34"/>
      <c r="R228" s="34"/>
      <c r="S228" s="32" t="str">
        <f t="shared" si="17"/>
        <v/>
      </c>
      <c r="T228" s="32" t="str">
        <f t="shared" si="18"/>
        <v/>
      </c>
      <c r="U228" s="35"/>
      <c r="V228" s="35"/>
      <c r="W228" s="35"/>
      <c r="X228" s="35"/>
      <c r="Y228" s="32" t="str">
        <f t="shared" si="19"/>
        <v/>
      </c>
      <c r="Z228" s="35"/>
      <c r="AA228" s="35"/>
      <c r="AB228" s="35"/>
      <c r="AC228" s="35"/>
      <c r="AD228" s="35"/>
      <c r="AE228" s="35"/>
      <c r="AF228" s="35"/>
      <c r="AG228" s="15" t="s">
        <v>543</v>
      </c>
    </row>
    <row r="229" spans="1:33" ht="22.8" x14ac:dyDescent="0.3">
      <c r="A229" s="30">
        <v>3715</v>
      </c>
      <c r="B229" s="9"/>
      <c r="C229" s="36"/>
      <c r="D229" s="9"/>
      <c r="E229" s="9" t="s">
        <v>961</v>
      </c>
      <c r="F229" s="30" t="s">
        <v>314</v>
      </c>
      <c r="G229" s="31" t="s">
        <v>317</v>
      </c>
      <c r="H229" s="31" t="s">
        <v>316</v>
      </c>
      <c r="I229" s="31" t="s">
        <v>316</v>
      </c>
      <c r="J229" s="31" t="s">
        <v>316</v>
      </c>
      <c r="K229" s="31" t="s">
        <v>316</v>
      </c>
      <c r="L229" s="32" t="str">
        <f t="shared" si="15"/>
        <v>EXCLUDE</v>
      </c>
      <c r="M229" s="32" t="str">
        <f t="shared" si="16"/>
        <v>Wrong domain (non-AECO)</v>
      </c>
      <c r="N229" s="33"/>
      <c r="O229" s="33"/>
      <c r="P229" s="34"/>
      <c r="Q229" s="34"/>
      <c r="R229" s="34"/>
      <c r="S229" s="32" t="str">
        <f t="shared" si="17"/>
        <v/>
      </c>
      <c r="T229" s="32" t="str">
        <f t="shared" si="18"/>
        <v/>
      </c>
      <c r="U229" s="35"/>
      <c r="V229" s="35"/>
      <c r="W229" s="35"/>
      <c r="X229" s="35"/>
      <c r="Y229" s="32" t="str">
        <f t="shared" si="19"/>
        <v/>
      </c>
      <c r="Z229" s="35"/>
      <c r="AA229" s="35"/>
      <c r="AB229" s="35"/>
      <c r="AC229" s="35"/>
      <c r="AD229" s="35"/>
      <c r="AE229" s="35"/>
      <c r="AF229" s="35"/>
      <c r="AG229" s="15" t="s">
        <v>544</v>
      </c>
    </row>
    <row r="230" spans="1:33" ht="22.8" x14ac:dyDescent="0.3">
      <c r="A230" s="30">
        <v>3785</v>
      </c>
      <c r="B230" s="9"/>
      <c r="C230" s="36"/>
      <c r="D230" s="9"/>
      <c r="E230" s="9" t="s">
        <v>962</v>
      </c>
      <c r="F230" s="30" t="s">
        <v>314</v>
      </c>
      <c r="G230" s="31" t="s">
        <v>317</v>
      </c>
      <c r="H230" s="31" t="s">
        <v>316</v>
      </c>
      <c r="I230" s="31" t="s">
        <v>316</v>
      </c>
      <c r="J230" s="31" t="s">
        <v>316</v>
      </c>
      <c r="K230" s="31" t="s">
        <v>316</v>
      </c>
      <c r="L230" s="32" t="str">
        <f t="shared" si="15"/>
        <v>EXCLUDE</v>
      </c>
      <c r="M230" s="32" t="str">
        <f t="shared" si="16"/>
        <v>Wrong domain (non-AECO)</v>
      </c>
      <c r="N230" s="33"/>
      <c r="O230" s="33"/>
      <c r="P230" s="34"/>
      <c r="Q230" s="34"/>
      <c r="R230" s="34"/>
      <c r="S230" s="32" t="str">
        <f t="shared" si="17"/>
        <v/>
      </c>
      <c r="T230" s="32" t="str">
        <f t="shared" si="18"/>
        <v/>
      </c>
      <c r="U230" s="35"/>
      <c r="V230" s="35"/>
      <c r="W230" s="35"/>
      <c r="X230" s="35"/>
      <c r="Y230" s="32" t="str">
        <f t="shared" si="19"/>
        <v/>
      </c>
      <c r="Z230" s="35"/>
      <c r="AA230" s="35"/>
      <c r="AB230" s="35"/>
      <c r="AC230" s="35"/>
      <c r="AD230" s="35"/>
      <c r="AE230" s="35"/>
      <c r="AF230" s="35"/>
      <c r="AG230" s="15" t="s">
        <v>545</v>
      </c>
    </row>
    <row r="231" spans="1:33" ht="22.8" x14ac:dyDescent="0.3">
      <c r="A231" s="30">
        <v>3574</v>
      </c>
      <c r="B231" s="9"/>
      <c r="C231" s="36"/>
      <c r="D231" s="9"/>
      <c r="E231" s="9" t="s">
        <v>963</v>
      </c>
      <c r="F231" s="30" t="s">
        <v>314</v>
      </c>
      <c r="G231" s="31" t="s">
        <v>316</v>
      </c>
      <c r="H231" s="31" t="s">
        <v>317</v>
      </c>
      <c r="I231" s="31" t="s">
        <v>316</v>
      </c>
      <c r="J231" s="31" t="s">
        <v>316</v>
      </c>
      <c r="K231" s="31" t="s">
        <v>316</v>
      </c>
      <c r="L231" s="32" t="str">
        <f t="shared" si="15"/>
        <v>EXCLUDE</v>
      </c>
      <c r="M231" s="32" t="str">
        <f t="shared" si="16"/>
        <v>Digital Twin not core / buzzword</v>
      </c>
      <c r="N231" s="33"/>
      <c r="O231" s="33"/>
      <c r="P231" s="34"/>
      <c r="Q231" s="34"/>
      <c r="R231" s="34"/>
      <c r="S231" s="32" t="str">
        <f t="shared" si="17"/>
        <v/>
      </c>
      <c r="T231" s="32" t="str">
        <f t="shared" si="18"/>
        <v/>
      </c>
      <c r="U231" s="35"/>
      <c r="V231" s="35"/>
      <c r="W231" s="35"/>
      <c r="X231" s="35"/>
      <c r="Y231" s="32" t="str">
        <f t="shared" si="19"/>
        <v/>
      </c>
      <c r="Z231" s="35"/>
      <c r="AA231" s="35"/>
      <c r="AB231" s="35"/>
      <c r="AC231" s="35"/>
      <c r="AD231" s="35"/>
      <c r="AE231" s="35"/>
      <c r="AF231" s="35"/>
      <c r="AG231" s="15" t="s">
        <v>546</v>
      </c>
    </row>
    <row r="232" spans="1:33" ht="22.8" x14ac:dyDescent="0.3">
      <c r="A232" s="30">
        <v>3496</v>
      </c>
      <c r="B232" s="9"/>
      <c r="C232" s="36"/>
      <c r="D232" s="9"/>
      <c r="E232" s="9" t="s">
        <v>964</v>
      </c>
      <c r="F232" s="30" t="s">
        <v>314</v>
      </c>
      <c r="G232" s="31" t="s">
        <v>317</v>
      </c>
      <c r="H232" s="31" t="s">
        <v>316</v>
      </c>
      <c r="I232" s="31" t="s">
        <v>317</v>
      </c>
      <c r="J232" s="31" t="s">
        <v>316</v>
      </c>
      <c r="K232" s="31" t="s">
        <v>316</v>
      </c>
      <c r="L232" s="32" t="str">
        <f t="shared" si="15"/>
        <v>EXCLUDE</v>
      </c>
      <c r="M232" s="32" t="str">
        <f t="shared" si="16"/>
        <v>Wrong domain (non-AECO)</v>
      </c>
      <c r="N232" s="33"/>
      <c r="O232" s="33"/>
      <c r="P232" s="34"/>
      <c r="Q232" s="34"/>
      <c r="R232" s="34"/>
      <c r="S232" s="32" t="str">
        <f t="shared" si="17"/>
        <v/>
      </c>
      <c r="T232" s="32" t="str">
        <f t="shared" si="18"/>
        <v/>
      </c>
      <c r="U232" s="35"/>
      <c r="V232" s="35"/>
      <c r="W232" s="35"/>
      <c r="X232" s="35"/>
      <c r="Y232" s="32" t="str">
        <f t="shared" si="19"/>
        <v/>
      </c>
      <c r="Z232" s="35"/>
      <c r="AA232" s="35"/>
      <c r="AB232" s="35"/>
      <c r="AC232" s="35"/>
      <c r="AD232" s="35"/>
      <c r="AE232" s="35"/>
      <c r="AF232" s="35"/>
      <c r="AG232" s="15" t="s">
        <v>547</v>
      </c>
    </row>
    <row r="233" spans="1:33" ht="22.8" x14ac:dyDescent="0.3">
      <c r="A233" s="30">
        <v>3799</v>
      </c>
      <c r="B233" s="9"/>
      <c r="C233" s="36"/>
      <c r="D233" s="9"/>
      <c r="E233" s="9" t="s">
        <v>965</v>
      </c>
      <c r="F233" s="30" t="s">
        <v>314</v>
      </c>
      <c r="G233" s="31" t="s">
        <v>317</v>
      </c>
      <c r="H233" s="31" t="s">
        <v>316</v>
      </c>
      <c r="I233" s="31" t="s">
        <v>316</v>
      </c>
      <c r="J233" s="31" t="s">
        <v>316</v>
      </c>
      <c r="K233" s="31" t="s">
        <v>316</v>
      </c>
      <c r="L233" s="32" t="str">
        <f t="shared" si="15"/>
        <v>EXCLUDE</v>
      </c>
      <c r="M233" s="32" t="str">
        <f t="shared" si="16"/>
        <v>Wrong domain (non-AECO)</v>
      </c>
      <c r="N233" s="33"/>
      <c r="O233" s="33"/>
      <c r="P233" s="34"/>
      <c r="Q233" s="34"/>
      <c r="R233" s="34"/>
      <c r="S233" s="32" t="str">
        <f t="shared" si="17"/>
        <v/>
      </c>
      <c r="T233" s="32" t="str">
        <f t="shared" si="18"/>
        <v/>
      </c>
      <c r="U233" s="35"/>
      <c r="V233" s="35"/>
      <c r="W233" s="35"/>
      <c r="X233" s="35"/>
      <c r="Y233" s="32" t="str">
        <f t="shared" si="19"/>
        <v/>
      </c>
      <c r="Z233" s="35"/>
      <c r="AA233" s="35"/>
      <c r="AB233" s="35"/>
      <c r="AC233" s="35"/>
      <c r="AD233" s="35"/>
      <c r="AE233" s="35"/>
      <c r="AF233" s="35"/>
      <c r="AG233" s="15" t="s">
        <v>548</v>
      </c>
    </row>
    <row r="234" spans="1:33" ht="22.8" x14ac:dyDescent="0.3">
      <c r="A234" s="30">
        <v>3847</v>
      </c>
      <c r="B234" s="9"/>
      <c r="C234" s="36"/>
      <c r="D234" s="9"/>
      <c r="E234" s="9" t="s">
        <v>966</v>
      </c>
      <c r="F234" s="30" t="s">
        <v>314</v>
      </c>
      <c r="G234" s="31" t="s">
        <v>317</v>
      </c>
      <c r="H234" s="31" t="s">
        <v>316</v>
      </c>
      <c r="I234" s="31" t="s">
        <v>317</v>
      </c>
      <c r="J234" s="31" t="s">
        <v>316</v>
      </c>
      <c r="K234" s="31" t="s">
        <v>316</v>
      </c>
      <c r="L234" s="32" t="str">
        <f t="shared" si="15"/>
        <v>EXCLUDE</v>
      </c>
      <c r="M234" s="32" t="str">
        <f t="shared" si="16"/>
        <v>Wrong domain (non-AECO)</v>
      </c>
      <c r="N234" s="33"/>
      <c r="O234" s="33"/>
      <c r="P234" s="34"/>
      <c r="Q234" s="34"/>
      <c r="R234" s="34"/>
      <c r="S234" s="32" t="str">
        <f t="shared" si="17"/>
        <v/>
      </c>
      <c r="T234" s="32" t="str">
        <f t="shared" si="18"/>
        <v/>
      </c>
      <c r="U234" s="35"/>
      <c r="V234" s="35"/>
      <c r="W234" s="35"/>
      <c r="X234" s="35"/>
      <c r="Y234" s="32" t="str">
        <f t="shared" si="19"/>
        <v/>
      </c>
      <c r="Z234" s="35"/>
      <c r="AA234" s="35"/>
      <c r="AB234" s="35"/>
      <c r="AC234" s="35"/>
      <c r="AD234" s="35"/>
      <c r="AE234" s="35"/>
      <c r="AF234" s="35"/>
      <c r="AG234" s="15" t="s">
        <v>549</v>
      </c>
    </row>
    <row r="235" spans="1:33" ht="22.8" x14ac:dyDescent="0.3">
      <c r="A235" s="30">
        <v>3862</v>
      </c>
      <c r="B235" s="9"/>
      <c r="C235" s="36"/>
      <c r="D235" s="9"/>
      <c r="E235" s="9" t="s">
        <v>967</v>
      </c>
      <c r="F235" s="30" t="s">
        <v>314</v>
      </c>
      <c r="G235" s="31" t="s">
        <v>316</v>
      </c>
      <c r="H235" s="31" t="s">
        <v>317</v>
      </c>
      <c r="I235" s="31" t="s">
        <v>316</v>
      </c>
      <c r="J235" s="31" t="s">
        <v>316</v>
      </c>
      <c r="K235" s="31" t="s">
        <v>316</v>
      </c>
      <c r="L235" s="32" t="str">
        <f t="shared" si="15"/>
        <v>EXCLUDE</v>
      </c>
      <c r="M235" s="32" t="str">
        <f t="shared" si="16"/>
        <v>Digital Twin not core / buzzword</v>
      </c>
      <c r="N235" s="33"/>
      <c r="O235" s="33"/>
      <c r="P235" s="34"/>
      <c r="Q235" s="34"/>
      <c r="R235" s="34"/>
      <c r="S235" s="32" t="str">
        <f t="shared" si="17"/>
        <v/>
      </c>
      <c r="T235" s="32" t="str">
        <f t="shared" si="18"/>
        <v/>
      </c>
      <c r="U235" s="35"/>
      <c r="V235" s="35"/>
      <c r="W235" s="35"/>
      <c r="X235" s="35"/>
      <c r="Y235" s="32" t="str">
        <f t="shared" si="19"/>
        <v/>
      </c>
      <c r="Z235" s="35"/>
      <c r="AA235" s="35"/>
      <c r="AB235" s="35"/>
      <c r="AC235" s="35"/>
      <c r="AD235" s="35"/>
      <c r="AE235" s="35"/>
      <c r="AF235" s="35"/>
      <c r="AG235" s="15" t="s">
        <v>550</v>
      </c>
    </row>
    <row r="236" spans="1:33" ht="102.6" x14ac:dyDescent="0.3">
      <c r="A236" s="30">
        <v>3720</v>
      </c>
      <c r="B236" s="9" t="s">
        <v>241</v>
      </c>
      <c r="C236" s="36">
        <v>2022</v>
      </c>
      <c r="D236" s="9"/>
      <c r="E236" s="9" t="s">
        <v>968</v>
      </c>
      <c r="F236" s="30" t="s">
        <v>314</v>
      </c>
      <c r="G236" s="31" t="s">
        <v>316</v>
      </c>
      <c r="H236" s="31" t="s">
        <v>316</v>
      </c>
      <c r="I236" s="31" t="s">
        <v>316</v>
      </c>
      <c r="J236" s="31" t="s">
        <v>316</v>
      </c>
      <c r="K236" s="31" t="s">
        <v>316</v>
      </c>
      <c r="L236" s="32" t="str">
        <f t="shared" si="15"/>
        <v>INCLUDE</v>
      </c>
      <c r="M236" s="32" t="str">
        <f t="shared" si="16"/>
        <v/>
      </c>
      <c r="N236" s="33" t="s">
        <v>49</v>
      </c>
      <c r="O236" s="33" t="s">
        <v>49</v>
      </c>
      <c r="P236" s="34" t="s">
        <v>49</v>
      </c>
      <c r="Q236" s="34" t="s">
        <v>49</v>
      </c>
      <c r="R236" s="34" t="s">
        <v>49</v>
      </c>
      <c r="S236" s="32" t="str">
        <f t="shared" si="17"/>
        <v>INCLUDE</v>
      </c>
      <c r="T236" s="32" t="str">
        <f t="shared" si="18"/>
        <v/>
      </c>
      <c r="U236" s="35" t="s">
        <v>52</v>
      </c>
      <c r="V236" s="35">
        <v>0</v>
      </c>
      <c r="W236" s="35">
        <v>0</v>
      </c>
      <c r="X236" s="35">
        <v>1</v>
      </c>
      <c r="Y236" s="32" t="str">
        <f t="shared" si="19"/>
        <v>Single</v>
      </c>
      <c r="Z236" s="35" t="s">
        <v>9</v>
      </c>
      <c r="AA236" s="35" t="s">
        <v>62</v>
      </c>
      <c r="AB236" s="35" t="s">
        <v>91</v>
      </c>
      <c r="AC236" s="35" t="s">
        <v>64</v>
      </c>
      <c r="AD236" s="35" t="s">
        <v>79</v>
      </c>
      <c r="AE236" s="35">
        <v>3</v>
      </c>
      <c r="AF236" s="35" t="s">
        <v>57</v>
      </c>
      <c r="AG236" s="15" t="s">
        <v>551</v>
      </c>
    </row>
    <row r="237" spans="1:33" ht="22.8" x14ac:dyDescent="0.3">
      <c r="A237" s="30">
        <v>3812</v>
      </c>
      <c r="B237" s="9"/>
      <c r="C237" s="36"/>
      <c r="D237" s="9"/>
      <c r="E237" s="9" t="s">
        <v>969</v>
      </c>
      <c r="F237" s="30" t="s">
        <v>314</v>
      </c>
      <c r="G237" s="31" t="s">
        <v>316</v>
      </c>
      <c r="H237" s="31" t="s">
        <v>316</v>
      </c>
      <c r="I237" s="31" t="s">
        <v>317</v>
      </c>
      <c r="J237" s="31" t="s">
        <v>316</v>
      </c>
      <c r="K237" s="31" t="s">
        <v>316</v>
      </c>
      <c r="L237" s="32" t="str">
        <f t="shared" si="15"/>
        <v>EXCLUDE</v>
      </c>
      <c r="M237" s="32" t="str">
        <f t="shared" si="16"/>
        <v>No Design for Safety/Quality/PtD</v>
      </c>
      <c r="N237" s="33"/>
      <c r="O237" s="33"/>
      <c r="P237" s="34"/>
      <c r="Q237" s="34"/>
      <c r="R237" s="34"/>
      <c r="S237" s="32" t="str">
        <f t="shared" si="17"/>
        <v/>
      </c>
      <c r="T237" s="32" t="str">
        <f t="shared" si="18"/>
        <v/>
      </c>
      <c r="U237" s="35"/>
      <c r="V237" s="35"/>
      <c r="W237" s="35"/>
      <c r="X237" s="35"/>
      <c r="Y237" s="32" t="str">
        <f t="shared" si="19"/>
        <v/>
      </c>
      <c r="Z237" s="35"/>
      <c r="AA237" s="35"/>
      <c r="AB237" s="35"/>
      <c r="AC237" s="35"/>
      <c r="AD237" s="35"/>
      <c r="AE237" s="35"/>
      <c r="AF237" s="35"/>
      <c r="AG237" s="15" t="s">
        <v>552</v>
      </c>
    </row>
    <row r="238" spans="1:33" ht="22.8" x14ac:dyDescent="0.3">
      <c r="A238" s="30">
        <v>3622</v>
      </c>
      <c r="B238" s="9"/>
      <c r="C238" s="36"/>
      <c r="D238" s="9"/>
      <c r="E238" s="9" t="s">
        <v>970</v>
      </c>
      <c r="F238" s="30" t="s">
        <v>314</v>
      </c>
      <c r="G238" s="31" t="s">
        <v>316</v>
      </c>
      <c r="H238" s="31" t="s">
        <v>316</v>
      </c>
      <c r="I238" s="31" t="s">
        <v>316</v>
      </c>
      <c r="J238" s="31" t="s">
        <v>316</v>
      </c>
      <c r="K238" s="31" t="s">
        <v>317</v>
      </c>
      <c r="L238" s="32" t="str">
        <f t="shared" si="15"/>
        <v>EXCLUDE</v>
      </c>
      <c r="M238" s="32" t="str">
        <f t="shared" si="16"/>
        <v>Non-English</v>
      </c>
      <c r="N238" s="33"/>
      <c r="O238" s="33"/>
      <c r="P238" s="34"/>
      <c r="Q238" s="34"/>
      <c r="R238" s="34"/>
      <c r="S238" s="32" t="str">
        <f t="shared" si="17"/>
        <v/>
      </c>
      <c r="T238" s="32" t="str">
        <f t="shared" si="18"/>
        <v/>
      </c>
      <c r="U238" s="35"/>
      <c r="V238" s="35"/>
      <c r="W238" s="35"/>
      <c r="X238" s="35"/>
      <c r="Y238" s="32" t="str">
        <f t="shared" si="19"/>
        <v/>
      </c>
      <c r="Z238" s="35"/>
      <c r="AA238" s="35"/>
      <c r="AB238" s="35"/>
      <c r="AC238" s="35"/>
      <c r="AD238" s="35"/>
      <c r="AE238" s="35"/>
      <c r="AF238" s="35"/>
      <c r="AG238" s="15" t="s">
        <v>553</v>
      </c>
    </row>
    <row r="239" spans="1:33" ht="22.8" x14ac:dyDescent="0.3">
      <c r="A239" s="30">
        <v>4004</v>
      </c>
      <c r="B239" s="9" t="s">
        <v>242</v>
      </c>
      <c r="C239" s="36">
        <v>2026</v>
      </c>
      <c r="D239" s="9"/>
      <c r="E239" s="9" t="s">
        <v>971</v>
      </c>
      <c r="F239" s="30" t="s">
        <v>315</v>
      </c>
      <c r="G239" s="31" t="s">
        <v>316</v>
      </c>
      <c r="H239" s="31" t="s">
        <v>316</v>
      </c>
      <c r="I239" s="31" t="s">
        <v>316</v>
      </c>
      <c r="J239" s="31" t="s">
        <v>316</v>
      </c>
      <c r="K239" s="31" t="s">
        <v>316</v>
      </c>
      <c r="L239" s="32" t="str">
        <f t="shared" si="15"/>
        <v>INCLUDE</v>
      </c>
      <c r="M239" s="32" t="str">
        <f t="shared" si="16"/>
        <v/>
      </c>
      <c r="N239" s="33" t="s">
        <v>58</v>
      </c>
      <c r="O239" s="33" t="s">
        <v>58</v>
      </c>
      <c r="P239" s="34"/>
      <c r="Q239" s="34"/>
      <c r="R239" s="34"/>
      <c r="S239" s="32" t="str">
        <f t="shared" si="17"/>
        <v/>
      </c>
      <c r="T239" s="32" t="str">
        <f t="shared" si="18"/>
        <v/>
      </c>
      <c r="U239" s="35"/>
      <c r="V239" s="35"/>
      <c r="W239" s="35"/>
      <c r="X239" s="35"/>
      <c r="Y239" s="32" t="str">
        <f t="shared" si="19"/>
        <v/>
      </c>
      <c r="Z239" s="35"/>
      <c r="AA239" s="35"/>
      <c r="AB239" s="35"/>
      <c r="AC239" s="35"/>
      <c r="AD239" s="35"/>
      <c r="AE239" s="35"/>
      <c r="AF239" s="35"/>
      <c r="AG239" s="15" t="s">
        <v>554</v>
      </c>
    </row>
    <row r="240" spans="1:33" ht="22.8" x14ac:dyDescent="0.3">
      <c r="A240" s="30">
        <v>3944</v>
      </c>
      <c r="B240" s="9" t="s">
        <v>243</v>
      </c>
      <c r="C240" s="36">
        <v>2025</v>
      </c>
      <c r="D240" s="9"/>
      <c r="E240" s="9" t="s">
        <v>972</v>
      </c>
      <c r="F240" s="30" t="s">
        <v>315</v>
      </c>
      <c r="G240" s="31" t="s">
        <v>316</v>
      </c>
      <c r="H240" s="31" t="s">
        <v>316</v>
      </c>
      <c r="I240" s="31" t="s">
        <v>316</v>
      </c>
      <c r="J240" s="31" t="s">
        <v>316</v>
      </c>
      <c r="K240" s="31" t="s">
        <v>316</v>
      </c>
      <c r="L240" s="32" t="str">
        <f t="shared" si="15"/>
        <v>INCLUDE</v>
      </c>
      <c r="M240" s="32" t="str">
        <f t="shared" si="16"/>
        <v/>
      </c>
      <c r="N240" s="33" t="s">
        <v>58</v>
      </c>
      <c r="O240" s="33" t="s">
        <v>58</v>
      </c>
      <c r="P240" s="34"/>
      <c r="Q240" s="34"/>
      <c r="R240" s="34"/>
      <c r="S240" s="32" t="str">
        <f t="shared" si="17"/>
        <v/>
      </c>
      <c r="T240" s="32" t="str">
        <f t="shared" si="18"/>
        <v/>
      </c>
      <c r="U240" s="35"/>
      <c r="V240" s="35"/>
      <c r="W240" s="35"/>
      <c r="X240" s="35"/>
      <c r="Y240" s="32" t="str">
        <f t="shared" si="19"/>
        <v/>
      </c>
      <c r="Z240" s="35"/>
      <c r="AA240" s="35"/>
      <c r="AB240" s="35"/>
      <c r="AC240" s="35"/>
      <c r="AD240" s="35"/>
      <c r="AE240" s="35"/>
      <c r="AF240" s="35"/>
      <c r="AG240" s="15" t="s">
        <v>555</v>
      </c>
    </row>
    <row r="241" spans="1:33" ht="22.8" x14ac:dyDescent="0.3">
      <c r="A241" s="30">
        <v>4049</v>
      </c>
      <c r="B241" s="9"/>
      <c r="C241" s="36"/>
      <c r="D241" s="9"/>
      <c r="E241" s="9" t="s">
        <v>973</v>
      </c>
      <c r="F241" s="30" t="s">
        <v>315</v>
      </c>
      <c r="G241" s="31" t="s">
        <v>316</v>
      </c>
      <c r="H241" s="31" t="s">
        <v>316</v>
      </c>
      <c r="I241" s="31" t="s">
        <v>317</v>
      </c>
      <c r="J241" s="31" t="s">
        <v>316</v>
      </c>
      <c r="K241" s="31" t="s">
        <v>316</v>
      </c>
      <c r="L241" s="32" t="str">
        <f t="shared" si="15"/>
        <v>EXCLUDE</v>
      </c>
      <c r="M241" s="32" t="str">
        <f t="shared" si="16"/>
        <v>No Design for Safety/Quality/PtD</v>
      </c>
      <c r="N241" s="33"/>
      <c r="O241" s="33"/>
      <c r="P241" s="34"/>
      <c r="Q241" s="34"/>
      <c r="R241" s="34"/>
      <c r="S241" s="32" t="str">
        <f t="shared" si="17"/>
        <v/>
      </c>
      <c r="T241" s="32" t="str">
        <f t="shared" si="18"/>
        <v/>
      </c>
      <c r="U241" s="35"/>
      <c r="V241" s="35"/>
      <c r="W241" s="35"/>
      <c r="X241" s="35"/>
      <c r="Y241" s="32" t="str">
        <f t="shared" si="19"/>
        <v/>
      </c>
      <c r="Z241" s="35"/>
      <c r="AA241" s="35"/>
      <c r="AB241" s="35"/>
      <c r="AC241" s="35"/>
      <c r="AD241" s="35"/>
      <c r="AE241" s="35"/>
      <c r="AF241" s="35"/>
      <c r="AG241" s="15" t="s">
        <v>556</v>
      </c>
    </row>
    <row r="242" spans="1:33" ht="22.8" x14ac:dyDescent="0.3">
      <c r="A242" s="30">
        <v>4009</v>
      </c>
      <c r="B242" s="9"/>
      <c r="C242" s="36"/>
      <c r="D242" s="9"/>
      <c r="E242" s="9" t="s">
        <v>974</v>
      </c>
      <c r="F242" s="30" t="s">
        <v>315</v>
      </c>
      <c r="G242" s="31" t="s">
        <v>316</v>
      </c>
      <c r="H242" s="31" t="s">
        <v>316</v>
      </c>
      <c r="I242" s="31" t="s">
        <v>316</v>
      </c>
      <c r="J242" s="31" t="s">
        <v>316</v>
      </c>
      <c r="K242" s="31" t="s">
        <v>317</v>
      </c>
      <c r="L242" s="32" t="str">
        <f t="shared" si="15"/>
        <v>EXCLUDE</v>
      </c>
      <c r="M242" s="32" t="str">
        <f t="shared" si="16"/>
        <v>Non-English</v>
      </c>
      <c r="N242" s="33"/>
      <c r="O242" s="33"/>
      <c r="P242" s="34"/>
      <c r="Q242" s="34"/>
      <c r="R242" s="34"/>
      <c r="S242" s="32" t="str">
        <f t="shared" si="17"/>
        <v/>
      </c>
      <c r="T242" s="32" t="str">
        <f t="shared" si="18"/>
        <v/>
      </c>
      <c r="U242" s="35"/>
      <c r="V242" s="35"/>
      <c r="W242" s="35"/>
      <c r="X242" s="35"/>
      <c r="Y242" s="32" t="str">
        <f t="shared" si="19"/>
        <v/>
      </c>
      <c r="Z242" s="35"/>
      <c r="AA242" s="35"/>
      <c r="AB242" s="35"/>
      <c r="AC242" s="35"/>
      <c r="AD242" s="35"/>
      <c r="AE242" s="35"/>
      <c r="AF242" s="35"/>
      <c r="AG242" s="15" t="s">
        <v>557</v>
      </c>
    </row>
    <row r="243" spans="1:33" ht="22.8" x14ac:dyDescent="0.3">
      <c r="A243" s="30">
        <v>3890</v>
      </c>
      <c r="B243" s="9"/>
      <c r="C243" s="36"/>
      <c r="D243" s="9"/>
      <c r="E243" s="9" t="s">
        <v>975</v>
      </c>
      <c r="F243" s="30" t="s">
        <v>315</v>
      </c>
      <c r="G243" s="31" t="s">
        <v>316</v>
      </c>
      <c r="H243" s="31" t="s">
        <v>317</v>
      </c>
      <c r="I243" s="31" t="s">
        <v>316</v>
      </c>
      <c r="J243" s="31" t="s">
        <v>316</v>
      </c>
      <c r="K243" s="31" t="s">
        <v>316</v>
      </c>
      <c r="L243" s="32" t="str">
        <f t="shared" si="15"/>
        <v>EXCLUDE</v>
      </c>
      <c r="M243" s="32" t="str">
        <f t="shared" si="16"/>
        <v>Digital Twin not core / buzzword</v>
      </c>
      <c r="N243" s="33"/>
      <c r="O243" s="33"/>
      <c r="P243" s="34"/>
      <c r="Q243" s="34"/>
      <c r="R243" s="34"/>
      <c r="S243" s="32" t="str">
        <f t="shared" si="17"/>
        <v/>
      </c>
      <c r="T243" s="32" t="str">
        <f t="shared" si="18"/>
        <v/>
      </c>
      <c r="U243" s="35"/>
      <c r="V243" s="35"/>
      <c r="W243" s="35"/>
      <c r="X243" s="35"/>
      <c r="Y243" s="32" t="str">
        <f t="shared" si="19"/>
        <v/>
      </c>
      <c r="Z243" s="35"/>
      <c r="AA243" s="35"/>
      <c r="AB243" s="35"/>
      <c r="AC243" s="35"/>
      <c r="AD243" s="35"/>
      <c r="AE243" s="35"/>
      <c r="AF243" s="35"/>
      <c r="AG243" s="15" t="s">
        <v>558</v>
      </c>
    </row>
    <row r="244" spans="1:33" ht="22.8" x14ac:dyDescent="0.3">
      <c r="A244" s="30">
        <v>3600</v>
      </c>
      <c r="B244" s="9"/>
      <c r="C244" s="36"/>
      <c r="D244" s="9"/>
      <c r="E244" s="9" t="s">
        <v>976</v>
      </c>
      <c r="F244" s="30" t="s">
        <v>314</v>
      </c>
      <c r="G244" s="31" t="s">
        <v>316</v>
      </c>
      <c r="H244" s="31" t="s">
        <v>317</v>
      </c>
      <c r="I244" s="31" t="s">
        <v>316</v>
      </c>
      <c r="J244" s="31" t="s">
        <v>316</v>
      </c>
      <c r="K244" s="31" t="s">
        <v>316</v>
      </c>
      <c r="L244" s="32" t="str">
        <f t="shared" si="15"/>
        <v>EXCLUDE</v>
      </c>
      <c r="M244" s="32" t="str">
        <f t="shared" si="16"/>
        <v>Digital Twin not core / buzzword</v>
      </c>
      <c r="N244" s="33"/>
      <c r="O244" s="33"/>
      <c r="P244" s="34"/>
      <c r="Q244" s="34"/>
      <c r="R244" s="34"/>
      <c r="S244" s="32" t="str">
        <f t="shared" si="17"/>
        <v/>
      </c>
      <c r="T244" s="32" t="str">
        <f t="shared" si="18"/>
        <v/>
      </c>
      <c r="U244" s="35"/>
      <c r="V244" s="35"/>
      <c r="W244" s="35"/>
      <c r="X244" s="35"/>
      <c r="Y244" s="32" t="str">
        <f t="shared" si="19"/>
        <v/>
      </c>
      <c r="Z244" s="35"/>
      <c r="AA244" s="35"/>
      <c r="AB244" s="35"/>
      <c r="AC244" s="35"/>
      <c r="AD244" s="35"/>
      <c r="AE244" s="35"/>
      <c r="AF244" s="35"/>
      <c r="AG244" s="15" t="s">
        <v>559</v>
      </c>
    </row>
    <row r="245" spans="1:33" ht="22.8" x14ac:dyDescent="0.3">
      <c r="A245" s="30">
        <v>4022</v>
      </c>
      <c r="B245" s="9"/>
      <c r="C245" s="36"/>
      <c r="D245" s="9"/>
      <c r="E245" s="9" t="s">
        <v>977</v>
      </c>
      <c r="F245" s="30" t="s">
        <v>315</v>
      </c>
      <c r="G245" s="31" t="s">
        <v>316</v>
      </c>
      <c r="H245" s="31" t="s">
        <v>317</v>
      </c>
      <c r="I245" s="31" t="s">
        <v>316</v>
      </c>
      <c r="J245" s="31" t="s">
        <v>316</v>
      </c>
      <c r="K245" s="31" t="s">
        <v>316</v>
      </c>
      <c r="L245" s="32" t="str">
        <f t="shared" si="15"/>
        <v>EXCLUDE</v>
      </c>
      <c r="M245" s="32" t="str">
        <f t="shared" si="16"/>
        <v>Digital Twin not core / buzzword</v>
      </c>
      <c r="N245" s="33"/>
      <c r="O245" s="33"/>
      <c r="P245" s="34"/>
      <c r="Q245" s="34"/>
      <c r="R245" s="34"/>
      <c r="S245" s="32" t="str">
        <f t="shared" si="17"/>
        <v/>
      </c>
      <c r="T245" s="32" t="str">
        <f t="shared" si="18"/>
        <v/>
      </c>
      <c r="U245" s="35"/>
      <c r="V245" s="35"/>
      <c r="W245" s="35"/>
      <c r="X245" s="35"/>
      <c r="Y245" s="32" t="str">
        <f t="shared" si="19"/>
        <v/>
      </c>
      <c r="Z245" s="35"/>
      <c r="AA245" s="35"/>
      <c r="AB245" s="35"/>
      <c r="AC245" s="35"/>
      <c r="AD245" s="35"/>
      <c r="AE245" s="35"/>
      <c r="AF245" s="35"/>
      <c r="AG245" s="15" t="s">
        <v>560</v>
      </c>
    </row>
    <row r="246" spans="1:33" ht="22.8" x14ac:dyDescent="0.3">
      <c r="A246" s="30">
        <v>3922</v>
      </c>
      <c r="B246" s="9"/>
      <c r="C246" s="36"/>
      <c r="D246" s="9"/>
      <c r="E246" s="9" t="s">
        <v>978</v>
      </c>
      <c r="F246" s="30" t="s">
        <v>315</v>
      </c>
      <c r="G246" s="31" t="s">
        <v>316</v>
      </c>
      <c r="H246" s="31" t="s">
        <v>316</v>
      </c>
      <c r="I246" s="31" t="s">
        <v>317</v>
      </c>
      <c r="J246" s="31" t="s">
        <v>316</v>
      </c>
      <c r="K246" s="31" t="s">
        <v>316</v>
      </c>
      <c r="L246" s="32" t="str">
        <f t="shared" si="15"/>
        <v>EXCLUDE</v>
      </c>
      <c r="M246" s="32" t="str">
        <f t="shared" si="16"/>
        <v>No Design for Safety/Quality/PtD</v>
      </c>
      <c r="N246" s="33"/>
      <c r="O246" s="33"/>
      <c r="P246" s="34"/>
      <c r="Q246" s="34"/>
      <c r="R246" s="34"/>
      <c r="S246" s="32" t="str">
        <f t="shared" si="17"/>
        <v/>
      </c>
      <c r="T246" s="32" t="str">
        <f t="shared" si="18"/>
        <v/>
      </c>
      <c r="U246" s="35"/>
      <c r="V246" s="35"/>
      <c r="W246" s="35"/>
      <c r="X246" s="35"/>
      <c r="Y246" s="32" t="str">
        <f t="shared" si="19"/>
        <v/>
      </c>
      <c r="Z246" s="35"/>
      <c r="AA246" s="35"/>
      <c r="AB246" s="35"/>
      <c r="AC246" s="35"/>
      <c r="AD246" s="35"/>
      <c r="AE246" s="35"/>
      <c r="AF246" s="35"/>
      <c r="AG246" s="15" t="s">
        <v>561</v>
      </c>
    </row>
    <row r="247" spans="1:33" ht="22.8" x14ac:dyDescent="0.3">
      <c r="A247" s="30">
        <v>3512</v>
      </c>
      <c r="B247" s="9"/>
      <c r="C247" s="36"/>
      <c r="D247" s="9"/>
      <c r="E247" s="9" t="s">
        <v>979</v>
      </c>
      <c r="F247" s="30" t="s">
        <v>314</v>
      </c>
      <c r="G247" s="31" t="s">
        <v>317</v>
      </c>
      <c r="H247" s="31" t="s">
        <v>316</v>
      </c>
      <c r="I247" s="31" t="s">
        <v>316</v>
      </c>
      <c r="J247" s="31" t="s">
        <v>316</v>
      </c>
      <c r="K247" s="31" t="s">
        <v>316</v>
      </c>
      <c r="L247" s="32" t="str">
        <f t="shared" si="15"/>
        <v>EXCLUDE</v>
      </c>
      <c r="M247" s="32" t="str">
        <f t="shared" si="16"/>
        <v>Wrong domain (non-AECO)</v>
      </c>
      <c r="N247" s="33"/>
      <c r="O247" s="33"/>
      <c r="P247" s="34"/>
      <c r="Q247" s="34"/>
      <c r="R247" s="34"/>
      <c r="S247" s="32" t="str">
        <f t="shared" si="17"/>
        <v/>
      </c>
      <c r="T247" s="32" t="str">
        <f t="shared" si="18"/>
        <v/>
      </c>
      <c r="U247" s="35"/>
      <c r="V247" s="35"/>
      <c r="W247" s="35"/>
      <c r="X247" s="35"/>
      <c r="Y247" s="32" t="str">
        <f t="shared" si="19"/>
        <v/>
      </c>
      <c r="Z247" s="35"/>
      <c r="AA247" s="35"/>
      <c r="AB247" s="35"/>
      <c r="AC247" s="35"/>
      <c r="AD247" s="35"/>
      <c r="AE247" s="35"/>
      <c r="AF247" s="35"/>
      <c r="AG247" s="15" t="s">
        <v>562</v>
      </c>
    </row>
    <row r="248" spans="1:33" ht="114" x14ac:dyDescent="0.3">
      <c r="A248" s="30">
        <v>3939</v>
      </c>
      <c r="B248" s="9" t="s">
        <v>244</v>
      </c>
      <c r="C248" s="36">
        <v>2026</v>
      </c>
      <c r="D248" s="9"/>
      <c r="E248" s="9" t="s">
        <v>980</v>
      </c>
      <c r="F248" s="30" t="s">
        <v>315</v>
      </c>
      <c r="G248" s="31" t="s">
        <v>316</v>
      </c>
      <c r="H248" s="31" t="s">
        <v>316</v>
      </c>
      <c r="I248" s="31" t="s">
        <v>316</v>
      </c>
      <c r="J248" s="31" t="s">
        <v>316</v>
      </c>
      <c r="K248" s="31" t="s">
        <v>316</v>
      </c>
      <c r="L248" s="32" t="str">
        <f t="shared" si="15"/>
        <v>INCLUDE</v>
      </c>
      <c r="M248" s="32" t="str">
        <f t="shared" si="16"/>
        <v/>
      </c>
      <c r="N248" s="33" t="s">
        <v>49</v>
      </c>
      <c r="O248" s="33" t="s">
        <v>49</v>
      </c>
      <c r="P248" s="34" t="s">
        <v>49</v>
      </c>
      <c r="Q248" s="34" t="s">
        <v>49</v>
      </c>
      <c r="R248" s="34" t="s">
        <v>49</v>
      </c>
      <c r="S248" s="32" t="str">
        <f t="shared" si="17"/>
        <v>INCLUDE</v>
      </c>
      <c r="T248" s="32" t="str">
        <f t="shared" si="18"/>
        <v/>
      </c>
      <c r="U248" s="35" t="s">
        <v>52</v>
      </c>
      <c r="V248" s="35">
        <v>0</v>
      </c>
      <c r="W248" s="35">
        <v>0</v>
      </c>
      <c r="X248" s="35">
        <v>1</v>
      </c>
      <c r="Y248" s="32" t="str">
        <f t="shared" si="19"/>
        <v>Single</v>
      </c>
      <c r="Z248" s="35" t="s">
        <v>11</v>
      </c>
      <c r="AA248" s="35" t="s">
        <v>53</v>
      </c>
      <c r="AB248" s="35" t="s">
        <v>92</v>
      </c>
      <c r="AC248" s="35" t="s">
        <v>55</v>
      </c>
      <c r="AD248" s="35" t="s">
        <v>56</v>
      </c>
      <c r="AE248" s="35">
        <v>3</v>
      </c>
      <c r="AF248" s="35" t="s">
        <v>86</v>
      </c>
      <c r="AG248" s="15" t="s">
        <v>563</v>
      </c>
    </row>
    <row r="249" spans="1:33" ht="22.8" x14ac:dyDescent="0.3">
      <c r="A249" s="30">
        <v>3508</v>
      </c>
      <c r="B249" s="9"/>
      <c r="C249" s="36"/>
      <c r="D249" s="9"/>
      <c r="E249" s="9" t="s">
        <v>981</v>
      </c>
      <c r="F249" s="30" t="s">
        <v>314</v>
      </c>
      <c r="G249" s="31" t="s">
        <v>316</v>
      </c>
      <c r="H249" s="31" t="s">
        <v>317</v>
      </c>
      <c r="I249" s="31" t="s">
        <v>317</v>
      </c>
      <c r="J249" s="31" t="s">
        <v>316</v>
      </c>
      <c r="K249" s="31" t="s">
        <v>316</v>
      </c>
      <c r="L249" s="32" t="str">
        <f t="shared" si="15"/>
        <v>EXCLUDE</v>
      </c>
      <c r="M249" s="32" t="str">
        <f t="shared" si="16"/>
        <v>Digital Twin not core / buzzword</v>
      </c>
      <c r="N249" s="33"/>
      <c r="O249" s="33"/>
      <c r="P249" s="34"/>
      <c r="Q249" s="34"/>
      <c r="R249" s="34"/>
      <c r="S249" s="32" t="str">
        <f t="shared" si="17"/>
        <v/>
      </c>
      <c r="T249" s="32" t="str">
        <f t="shared" si="18"/>
        <v/>
      </c>
      <c r="U249" s="35"/>
      <c r="V249" s="35"/>
      <c r="W249" s="35"/>
      <c r="X249" s="35"/>
      <c r="Y249" s="32" t="str">
        <f t="shared" si="19"/>
        <v/>
      </c>
      <c r="Z249" s="35"/>
      <c r="AA249" s="35"/>
      <c r="AB249" s="35"/>
      <c r="AC249" s="35"/>
      <c r="AD249" s="35"/>
      <c r="AE249" s="35"/>
      <c r="AF249" s="35"/>
      <c r="AG249" s="15" t="s">
        <v>564</v>
      </c>
    </row>
    <row r="250" spans="1:33" x14ac:dyDescent="0.3">
      <c r="A250" s="30">
        <v>3837</v>
      </c>
      <c r="B250" s="9"/>
      <c r="C250" s="36"/>
      <c r="D250" s="9"/>
      <c r="E250" s="9" t="s">
        <v>982</v>
      </c>
      <c r="F250" s="30" t="s">
        <v>314</v>
      </c>
      <c r="G250" s="31" t="s">
        <v>316</v>
      </c>
      <c r="H250" s="31" t="s">
        <v>317</v>
      </c>
      <c r="I250" s="31" t="s">
        <v>316</v>
      </c>
      <c r="J250" s="31" t="s">
        <v>316</v>
      </c>
      <c r="K250" s="31" t="s">
        <v>316</v>
      </c>
      <c r="L250" s="32" t="str">
        <f t="shared" si="15"/>
        <v>EXCLUDE</v>
      </c>
      <c r="M250" s="32" t="str">
        <f t="shared" si="16"/>
        <v>Digital Twin not core / buzzword</v>
      </c>
      <c r="N250" s="33"/>
      <c r="O250" s="33"/>
      <c r="P250" s="34"/>
      <c r="Q250" s="34"/>
      <c r="R250" s="34"/>
      <c r="S250" s="32" t="str">
        <f t="shared" si="17"/>
        <v/>
      </c>
      <c r="T250" s="32" t="str">
        <f t="shared" si="18"/>
        <v/>
      </c>
      <c r="U250" s="35"/>
      <c r="V250" s="35"/>
      <c r="W250" s="35"/>
      <c r="X250" s="35"/>
      <c r="Y250" s="32" t="str">
        <f t="shared" si="19"/>
        <v/>
      </c>
      <c r="Z250" s="35"/>
      <c r="AA250" s="35"/>
      <c r="AB250" s="35"/>
      <c r="AC250" s="35"/>
      <c r="AD250" s="35"/>
      <c r="AE250" s="35"/>
      <c r="AF250" s="35"/>
      <c r="AG250" s="15" t="s">
        <v>565</v>
      </c>
    </row>
    <row r="251" spans="1:33" ht="22.8" x14ac:dyDescent="0.3">
      <c r="A251" s="30">
        <v>3743</v>
      </c>
      <c r="B251" s="9"/>
      <c r="C251" s="36"/>
      <c r="D251" s="9"/>
      <c r="E251" s="9" t="s">
        <v>983</v>
      </c>
      <c r="F251" s="30" t="s">
        <v>314</v>
      </c>
      <c r="G251" s="31" t="s">
        <v>316</v>
      </c>
      <c r="H251" s="31" t="s">
        <v>317</v>
      </c>
      <c r="I251" s="31" t="s">
        <v>316</v>
      </c>
      <c r="J251" s="31" t="s">
        <v>316</v>
      </c>
      <c r="K251" s="31" t="s">
        <v>316</v>
      </c>
      <c r="L251" s="32" t="str">
        <f t="shared" si="15"/>
        <v>EXCLUDE</v>
      </c>
      <c r="M251" s="32" t="str">
        <f t="shared" si="16"/>
        <v>Digital Twin not core / buzzword</v>
      </c>
      <c r="N251" s="33"/>
      <c r="O251" s="33"/>
      <c r="P251" s="34"/>
      <c r="Q251" s="34"/>
      <c r="R251" s="34"/>
      <c r="S251" s="32" t="str">
        <f t="shared" si="17"/>
        <v/>
      </c>
      <c r="T251" s="32" t="str">
        <f t="shared" si="18"/>
        <v/>
      </c>
      <c r="U251" s="35"/>
      <c r="V251" s="35"/>
      <c r="W251" s="35"/>
      <c r="X251" s="35"/>
      <c r="Y251" s="32" t="str">
        <f t="shared" si="19"/>
        <v/>
      </c>
      <c r="Z251" s="35"/>
      <c r="AA251" s="35"/>
      <c r="AB251" s="35"/>
      <c r="AC251" s="35"/>
      <c r="AD251" s="35"/>
      <c r="AE251" s="35"/>
      <c r="AF251" s="35"/>
      <c r="AG251" s="15" t="s">
        <v>566</v>
      </c>
    </row>
    <row r="252" spans="1:33" x14ac:dyDescent="0.3">
      <c r="A252" s="30">
        <v>3820</v>
      </c>
      <c r="B252" s="9"/>
      <c r="C252" s="36"/>
      <c r="D252" s="9"/>
      <c r="E252" s="9" t="s">
        <v>984</v>
      </c>
      <c r="F252" s="30" t="s">
        <v>314</v>
      </c>
      <c r="G252" s="31" t="s">
        <v>316</v>
      </c>
      <c r="H252" s="31" t="s">
        <v>317</v>
      </c>
      <c r="I252" s="31" t="s">
        <v>316</v>
      </c>
      <c r="J252" s="31" t="s">
        <v>316</v>
      </c>
      <c r="K252" s="31" t="s">
        <v>317</v>
      </c>
      <c r="L252" s="32" t="str">
        <f t="shared" si="15"/>
        <v>EXCLUDE</v>
      </c>
      <c r="M252" s="32" t="str">
        <f t="shared" si="16"/>
        <v>Digital Twin not core / buzzword</v>
      </c>
      <c r="N252" s="33"/>
      <c r="O252" s="33"/>
      <c r="P252" s="34"/>
      <c r="Q252" s="34"/>
      <c r="R252" s="34"/>
      <c r="S252" s="32" t="str">
        <f t="shared" si="17"/>
        <v/>
      </c>
      <c r="T252" s="32" t="str">
        <f t="shared" si="18"/>
        <v/>
      </c>
      <c r="U252" s="35"/>
      <c r="V252" s="35"/>
      <c r="W252" s="35"/>
      <c r="X252" s="35"/>
      <c r="Y252" s="32" t="str">
        <f t="shared" si="19"/>
        <v/>
      </c>
      <c r="Z252" s="35"/>
      <c r="AA252" s="35"/>
      <c r="AB252" s="35"/>
      <c r="AC252" s="35"/>
      <c r="AD252" s="35"/>
      <c r="AE252" s="35"/>
      <c r="AF252" s="35"/>
      <c r="AG252" s="15" t="s">
        <v>567</v>
      </c>
    </row>
    <row r="253" spans="1:33" ht="22.8" x14ac:dyDescent="0.3">
      <c r="A253" s="30">
        <v>3871</v>
      </c>
      <c r="B253" s="9"/>
      <c r="C253" s="36"/>
      <c r="D253" s="9"/>
      <c r="E253" s="9" t="s">
        <v>985</v>
      </c>
      <c r="F253" s="30" t="s">
        <v>314</v>
      </c>
      <c r="G253" s="31" t="s">
        <v>316</v>
      </c>
      <c r="H253" s="31" t="s">
        <v>316</v>
      </c>
      <c r="I253" s="31" t="s">
        <v>317</v>
      </c>
      <c r="J253" s="31" t="s">
        <v>316</v>
      </c>
      <c r="K253" s="31" t="s">
        <v>316</v>
      </c>
      <c r="L253" s="32" t="str">
        <f t="shared" si="15"/>
        <v>EXCLUDE</v>
      </c>
      <c r="M253" s="32" t="str">
        <f t="shared" si="16"/>
        <v>No Design for Safety/Quality/PtD</v>
      </c>
      <c r="N253" s="33"/>
      <c r="O253" s="33"/>
      <c r="P253" s="34"/>
      <c r="Q253" s="34"/>
      <c r="R253" s="34"/>
      <c r="S253" s="32" t="str">
        <f t="shared" si="17"/>
        <v/>
      </c>
      <c r="T253" s="32" t="str">
        <f t="shared" si="18"/>
        <v/>
      </c>
      <c r="U253" s="35"/>
      <c r="V253" s="35"/>
      <c r="W253" s="35"/>
      <c r="X253" s="35"/>
      <c r="Y253" s="32" t="str">
        <f t="shared" si="19"/>
        <v/>
      </c>
      <c r="Z253" s="35"/>
      <c r="AA253" s="35"/>
      <c r="AB253" s="35"/>
      <c r="AC253" s="35"/>
      <c r="AD253" s="35"/>
      <c r="AE253" s="35"/>
      <c r="AF253" s="35"/>
      <c r="AG253" s="15" t="s">
        <v>568</v>
      </c>
    </row>
    <row r="254" spans="1:33" ht="91.2" x14ac:dyDescent="0.3">
      <c r="A254" s="30">
        <v>3585</v>
      </c>
      <c r="B254" s="9" t="s">
        <v>245</v>
      </c>
      <c r="C254" s="36">
        <v>2025</v>
      </c>
      <c r="D254" s="9"/>
      <c r="E254" s="9" t="s">
        <v>986</v>
      </c>
      <c r="F254" s="30" t="s">
        <v>314</v>
      </c>
      <c r="G254" s="31" t="s">
        <v>316</v>
      </c>
      <c r="H254" s="31" t="s">
        <v>316</v>
      </c>
      <c r="I254" s="31" t="s">
        <v>316</v>
      </c>
      <c r="J254" s="31" t="s">
        <v>316</v>
      </c>
      <c r="K254" s="31" t="s">
        <v>316</v>
      </c>
      <c r="L254" s="32" t="str">
        <f t="shared" si="15"/>
        <v>INCLUDE</v>
      </c>
      <c r="M254" s="32" t="str">
        <f t="shared" si="16"/>
        <v/>
      </c>
      <c r="N254" s="33" t="s">
        <v>49</v>
      </c>
      <c r="O254" s="33" t="s">
        <v>49</v>
      </c>
      <c r="P254" s="34" t="s">
        <v>49</v>
      </c>
      <c r="Q254" s="34" t="s">
        <v>49</v>
      </c>
      <c r="R254" s="34" t="s">
        <v>49</v>
      </c>
      <c r="S254" s="32" t="str">
        <f t="shared" si="17"/>
        <v>INCLUDE</v>
      </c>
      <c r="T254" s="32" t="str">
        <f t="shared" si="18"/>
        <v/>
      </c>
      <c r="U254" s="35" t="s">
        <v>82</v>
      </c>
      <c r="V254" s="35">
        <v>0</v>
      </c>
      <c r="W254" s="35">
        <v>1</v>
      </c>
      <c r="X254" s="35">
        <v>0</v>
      </c>
      <c r="Y254" s="32" t="str">
        <f t="shared" si="19"/>
        <v>Single</v>
      </c>
      <c r="Z254" s="35" t="s">
        <v>69</v>
      </c>
      <c r="AA254" s="35" t="s">
        <v>53</v>
      </c>
      <c r="AB254" s="35" t="s">
        <v>89</v>
      </c>
      <c r="AC254" s="35" t="s">
        <v>64</v>
      </c>
      <c r="AD254" s="35" t="s">
        <v>56</v>
      </c>
      <c r="AE254" s="35">
        <v>3</v>
      </c>
      <c r="AF254" s="35" t="s">
        <v>66</v>
      </c>
      <c r="AG254" s="15" t="s">
        <v>569</v>
      </c>
    </row>
    <row r="255" spans="1:33" ht="114" x14ac:dyDescent="0.3">
      <c r="A255" s="30">
        <v>3970</v>
      </c>
      <c r="B255" s="9" t="s">
        <v>246</v>
      </c>
      <c r="C255" s="36">
        <v>2026</v>
      </c>
      <c r="D255" s="9"/>
      <c r="E255" s="9" t="s">
        <v>987</v>
      </c>
      <c r="F255" s="30" t="s">
        <v>315</v>
      </c>
      <c r="G255" s="31" t="s">
        <v>316</v>
      </c>
      <c r="H255" s="31" t="s">
        <v>316</v>
      </c>
      <c r="I255" s="31" t="s">
        <v>316</v>
      </c>
      <c r="J255" s="31" t="s">
        <v>316</v>
      </c>
      <c r="K255" s="31" t="s">
        <v>316</v>
      </c>
      <c r="L255" s="32" t="str">
        <f t="shared" si="15"/>
        <v>INCLUDE</v>
      </c>
      <c r="M255" s="32" t="str">
        <f t="shared" si="16"/>
        <v/>
      </c>
      <c r="N255" s="33" t="s">
        <v>49</v>
      </c>
      <c r="O255" s="33" t="s">
        <v>49</v>
      </c>
      <c r="P255" s="34" t="s">
        <v>49</v>
      </c>
      <c r="Q255" s="34" t="s">
        <v>49</v>
      </c>
      <c r="R255" s="34" t="s">
        <v>49</v>
      </c>
      <c r="S255" s="32" t="str">
        <f t="shared" si="17"/>
        <v>INCLUDE</v>
      </c>
      <c r="T255" s="32" t="str">
        <f t="shared" si="18"/>
        <v/>
      </c>
      <c r="U255" s="35" t="s">
        <v>61</v>
      </c>
      <c r="V255" s="35">
        <v>0</v>
      </c>
      <c r="W255" s="35">
        <v>0</v>
      </c>
      <c r="X255" s="35">
        <v>1</v>
      </c>
      <c r="Y255" s="32" t="str">
        <f t="shared" si="19"/>
        <v>Single</v>
      </c>
      <c r="Z255" s="35" t="s">
        <v>9</v>
      </c>
      <c r="AA255" s="35" t="s">
        <v>53</v>
      </c>
      <c r="AB255" s="35" t="s">
        <v>73</v>
      </c>
      <c r="AC255" s="35" t="s">
        <v>64</v>
      </c>
      <c r="AD255" s="35" t="s">
        <v>72</v>
      </c>
      <c r="AE255" s="35">
        <v>4</v>
      </c>
      <c r="AF255" s="35" t="s">
        <v>73</v>
      </c>
      <c r="AG255" s="15" t="s">
        <v>570</v>
      </c>
    </row>
    <row r="256" spans="1:33" ht="22.8" x14ac:dyDescent="0.3">
      <c r="A256" s="30">
        <v>3989</v>
      </c>
      <c r="B256" s="9" t="s">
        <v>247</v>
      </c>
      <c r="C256" s="36">
        <v>2022</v>
      </c>
      <c r="D256" s="9"/>
      <c r="E256" s="9" t="s">
        <v>988</v>
      </c>
      <c r="F256" s="30" t="s">
        <v>315</v>
      </c>
      <c r="G256" s="31" t="s">
        <v>316</v>
      </c>
      <c r="H256" s="31" t="s">
        <v>316</v>
      </c>
      <c r="I256" s="31" t="s">
        <v>316</v>
      </c>
      <c r="J256" s="31" t="s">
        <v>316</v>
      </c>
      <c r="K256" s="31" t="s">
        <v>316</v>
      </c>
      <c r="L256" s="32" t="str">
        <f t="shared" si="15"/>
        <v>INCLUDE</v>
      </c>
      <c r="M256" s="32" t="str">
        <f t="shared" si="16"/>
        <v/>
      </c>
      <c r="N256" s="33" t="s">
        <v>58</v>
      </c>
      <c r="O256" s="33" t="s">
        <v>58</v>
      </c>
      <c r="P256" s="34"/>
      <c r="Q256" s="34"/>
      <c r="R256" s="34"/>
      <c r="S256" s="32" t="str">
        <f t="shared" si="17"/>
        <v/>
      </c>
      <c r="T256" s="32" t="str">
        <f t="shared" si="18"/>
        <v/>
      </c>
      <c r="U256" s="35"/>
      <c r="V256" s="35"/>
      <c r="W256" s="35"/>
      <c r="X256" s="35"/>
      <c r="Y256" s="32" t="str">
        <f t="shared" si="19"/>
        <v/>
      </c>
      <c r="Z256" s="35"/>
      <c r="AA256" s="35"/>
      <c r="AB256" s="35"/>
      <c r="AC256" s="35"/>
      <c r="AD256" s="35"/>
      <c r="AE256" s="35"/>
      <c r="AF256" s="35"/>
      <c r="AG256" s="15" t="s">
        <v>571</v>
      </c>
    </row>
    <row r="257" spans="1:33" ht="22.8" x14ac:dyDescent="0.3">
      <c r="A257" s="30">
        <v>4003</v>
      </c>
      <c r="B257" s="9" t="s">
        <v>248</v>
      </c>
      <c r="C257" s="36">
        <v>2024</v>
      </c>
      <c r="D257" s="9"/>
      <c r="E257" s="9" t="s">
        <v>989</v>
      </c>
      <c r="F257" s="30" t="s">
        <v>315</v>
      </c>
      <c r="G257" s="31" t="s">
        <v>316</v>
      </c>
      <c r="H257" s="31" t="s">
        <v>316</v>
      </c>
      <c r="I257" s="31" t="s">
        <v>316</v>
      </c>
      <c r="J257" s="31" t="s">
        <v>316</v>
      </c>
      <c r="K257" s="31" t="s">
        <v>316</v>
      </c>
      <c r="L257" s="32" t="str">
        <f t="shared" si="15"/>
        <v>INCLUDE</v>
      </c>
      <c r="M257" s="32" t="str">
        <f t="shared" si="16"/>
        <v/>
      </c>
      <c r="N257" s="33" t="s">
        <v>58</v>
      </c>
      <c r="O257" s="33" t="s">
        <v>58</v>
      </c>
      <c r="P257" s="34"/>
      <c r="Q257" s="34"/>
      <c r="R257" s="34"/>
      <c r="S257" s="32" t="str">
        <f t="shared" si="17"/>
        <v/>
      </c>
      <c r="T257" s="32" t="str">
        <f t="shared" si="18"/>
        <v/>
      </c>
      <c r="U257" s="35"/>
      <c r="V257" s="35"/>
      <c r="W257" s="35"/>
      <c r="X257" s="35"/>
      <c r="Y257" s="32" t="str">
        <f t="shared" si="19"/>
        <v/>
      </c>
      <c r="Z257" s="35"/>
      <c r="AA257" s="35"/>
      <c r="AB257" s="35"/>
      <c r="AC257" s="35"/>
      <c r="AD257" s="35"/>
      <c r="AE257" s="35"/>
      <c r="AF257" s="35"/>
      <c r="AG257" s="15" t="s">
        <v>572</v>
      </c>
    </row>
    <row r="258" spans="1:33" ht="22.8" x14ac:dyDescent="0.3">
      <c r="A258" s="30">
        <v>4021</v>
      </c>
      <c r="B258" s="9"/>
      <c r="C258" s="36"/>
      <c r="D258" s="9"/>
      <c r="E258" s="9" t="s">
        <v>990</v>
      </c>
      <c r="F258" s="30" t="s">
        <v>315</v>
      </c>
      <c r="G258" s="31" t="s">
        <v>316</v>
      </c>
      <c r="H258" s="31" t="s">
        <v>317</v>
      </c>
      <c r="I258" s="31" t="s">
        <v>316</v>
      </c>
      <c r="J258" s="31" t="s">
        <v>316</v>
      </c>
      <c r="K258" s="31" t="s">
        <v>316</v>
      </c>
      <c r="L258" s="32" t="str">
        <f t="shared" ref="L258:L321" si="20">IF(COUNTBLANK(G258:K258)=5,"",IF(COUNTIF(G258:K258,"No")&gt;0,"EXCLUDE","INCLUDE"))</f>
        <v>EXCLUDE</v>
      </c>
      <c r="M258" s="32" t="str">
        <f t="shared" ref="M258:M321" si="21">IF(L258&lt;&gt;"EXCLUDE","",IF(G258="No","Wrong domain (non-AECO)",IF(H258="No","Digital Twin not core / buzzword",IF(I258="No","No Design for Safety/Quality/PtD",IF(J258="No","Wrong publication type",IF(K258="No","Non-English",""))))))</f>
        <v>Digital Twin not core / buzzword</v>
      </c>
      <c r="N258" s="33"/>
      <c r="O258" s="33"/>
      <c r="P258" s="34"/>
      <c r="Q258" s="34"/>
      <c r="R258" s="34"/>
      <c r="S258" s="32" t="str">
        <f t="shared" ref="S258:S321" si="22">IF(N258&lt;&gt;"Yes","",IF(COUNTBLANK(P258:R258)=3,"",IF(COUNTIF(P258:R258,"No")&gt;0,"EXCLUDE","INCLUDE")))</f>
        <v/>
      </c>
      <c r="T258" s="32" t="str">
        <f t="shared" ref="T258:T321" si="23">IF(S258&lt;&gt;"EXCLUDE","",IF(P258="No","Digital Twin mentioned only, not the subject",IF(Q258="No","No Design for Safety/Quality in full text",IF(R258="No","Methodology not codable",""))))</f>
        <v/>
      </c>
      <c r="U258" s="35"/>
      <c r="V258" s="35"/>
      <c r="W258" s="35"/>
      <c r="X258" s="35"/>
      <c r="Y258" s="32" t="str">
        <f t="shared" ref="Y258:Y321" si="24">IF(SUM(V258:X258)=0,"",IF(SUM(V258:X258)&gt;=2,"Multi","Single"))</f>
        <v/>
      </c>
      <c r="Z258" s="35"/>
      <c r="AA258" s="35"/>
      <c r="AB258" s="35"/>
      <c r="AC258" s="35"/>
      <c r="AD258" s="35"/>
      <c r="AE258" s="35"/>
      <c r="AF258" s="35"/>
      <c r="AG258" s="15" t="s">
        <v>573</v>
      </c>
    </row>
    <row r="259" spans="1:33" ht="22.8" x14ac:dyDescent="0.3">
      <c r="A259" s="30">
        <v>3764</v>
      </c>
      <c r="B259" s="9"/>
      <c r="C259" s="36"/>
      <c r="D259" s="9"/>
      <c r="E259" s="9" t="s">
        <v>991</v>
      </c>
      <c r="F259" s="30" t="s">
        <v>314</v>
      </c>
      <c r="G259" s="31" t="s">
        <v>316</v>
      </c>
      <c r="H259" s="31" t="s">
        <v>317</v>
      </c>
      <c r="I259" s="31" t="s">
        <v>317</v>
      </c>
      <c r="J259" s="31" t="s">
        <v>316</v>
      </c>
      <c r="K259" s="31" t="s">
        <v>316</v>
      </c>
      <c r="L259" s="32" t="str">
        <f t="shared" si="20"/>
        <v>EXCLUDE</v>
      </c>
      <c r="M259" s="32" t="str">
        <f t="shared" si="21"/>
        <v>Digital Twin not core / buzzword</v>
      </c>
      <c r="N259" s="33"/>
      <c r="O259" s="33"/>
      <c r="P259" s="34"/>
      <c r="Q259" s="34"/>
      <c r="R259" s="34"/>
      <c r="S259" s="32" t="str">
        <f t="shared" si="22"/>
        <v/>
      </c>
      <c r="T259" s="32" t="str">
        <f t="shared" si="23"/>
        <v/>
      </c>
      <c r="U259" s="35"/>
      <c r="V259" s="35"/>
      <c r="W259" s="35"/>
      <c r="X259" s="35"/>
      <c r="Y259" s="32" t="str">
        <f t="shared" si="24"/>
        <v/>
      </c>
      <c r="Z259" s="35"/>
      <c r="AA259" s="35"/>
      <c r="AB259" s="35"/>
      <c r="AC259" s="35"/>
      <c r="AD259" s="35"/>
      <c r="AE259" s="35"/>
      <c r="AF259" s="35"/>
      <c r="AG259" s="15" t="s">
        <v>574</v>
      </c>
    </row>
    <row r="260" spans="1:33" ht="22.8" x14ac:dyDescent="0.3">
      <c r="A260" s="30">
        <v>3497</v>
      </c>
      <c r="B260" s="9"/>
      <c r="C260" s="36"/>
      <c r="D260" s="9"/>
      <c r="E260" s="9" t="s">
        <v>992</v>
      </c>
      <c r="F260" s="30" t="s">
        <v>314</v>
      </c>
      <c r="G260" s="31" t="s">
        <v>317</v>
      </c>
      <c r="H260" s="31" t="s">
        <v>316</v>
      </c>
      <c r="I260" s="31" t="s">
        <v>317</v>
      </c>
      <c r="J260" s="31" t="s">
        <v>316</v>
      </c>
      <c r="K260" s="31" t="s">
        <v>316</v>
      </c>
      <c r="L260" s="32" t="str">
        <f t="shared" si="20"/>
        <v>EXCLUDE</v>
      </c>
      <c r="M260" s="32" t="str">
        <f t="shared" si="21"/>
        <v>Wrong domain (non-AECO)</v>
      </c>
      <c r="N260" s="33"/>
      <c r="O260" s="33"/>
      <c r="P260" s="34"/>
      <c r="Q260" s="34"/>
      <c r="R260" s="34"/>
      <c r="S260" s="32" t="str">
        <f t="shared" si="22"/>
        <v/>
      </c>
      <c r="T260" s="32" t="str">
        <f t="shared" si="23"/>
        <v/>
      </c>
      <c r="U260" s="35"/>
      <c r="V260" s="35"/>
      <c r="W260" s="35"/>
      <c r="X260" s="35"/>
      <c r="Y260" s="32" t="str">
        <f t="shared" si="24"/>
        <v/>
      </c>
      <c r="Z260" s="35"/>
      <c r="AA260" s="35"/>
      <c r="AB260" s="35"/>
      <c r="AC260" s="35"/>
      <c r="AD260" s="35"/>
      <c r="AE260" s="35"/>
      <c r="AF260" s="35"/>
      <c r="AG260" s="15" t="s">
        <v>575</v>
      </c>
    </row>
    <row r="261" spans="1:33" ht="68.400000000000006" x14ac:dyDescent="0.3">
      <c r="A261" s="30">
        <v>3755</v>
      </c>
      <c r="B261" s="9" t="s">
        <v>249</v>
      </c>
      <c r="C261" s="36">
        <v>2026</v>
      </c>
      <c r="D261" s="9"/>
      <c r="E261" s="9" t="s">
        <v>993</v>
      </c>
      <c r="F261" s="30" t="s">
        <v>314</v>
      </c>
      <c r="G261" s="31" t="s">
        <v>316</v>
      </c>
      <c r="H261" s="31" t="s">
        <v>316</v>
      </c>
      <c r="I261" s="31" t="s">
        <v>316</v>
      </c>
      <c r="J261" s="31" t="s">
        <v>316</v>
      </c>
      <c r="K261" s="31" t="s">
        <v>316</v>
      </c>
      <c r="L261" s="32" t="str">
        <f t="shared" si="20"/>
        <v>INCLUDE</v>
      </c>
      <c r="M261" s="32" t="str">
        <f t="shared" si="21"/>
        <v/>
      </c>
      <c r="N261" s="33" t="s">
        <v>49</v>
      </c>
      <c r="O261" s="33" t="s">
        <v>49</v>
      </c>
      <c r="P261" s="34" t="s">
        <v>58</v>
      </c>
      <c r="Q261" s="34" t="s">
        <v>58</v>
      </c>
      <c r="R261" s="34" t="s">
        <v>58</v>
      </c>
      <c r="S261" s="32" t="str">
        <f t="shared" si="22"/>
        <v>EXCLUDE</v>
      </c>
      <c r="T261" s="32" t="str">
        <f t="shared" si="23"/>
        <v>Digital Twin mentioned only, not the subject</v>
      </c>
      <c r="U261" s="35" t="s">
        <v>82</v>
      </c>
      <c r="V261" s="35"/>
      <c r="W261" s="35"/>
      <c r="X261" s="35"/>
      <c r="Y261" s="32" t="str">
        <f t="shared" si="24"/>
        <v/>
      </c>
      <c r="Z261" s="35"/>
      <c r="AA261" s="35"/>
      <c r="AB261" s="35"/>
      <c r="AC261" s="35"/>
      <c r="AD261" s="35"/>
      <c r="AE261" s="35"/>
      <c r="AF261" s="35"/>
      <c r="AG261" s="15" t="s">
        <v>576</v>
      </c>
    </row>
    <row r="262" spans="1:33" ht="22.8" x14ac:dyDescent="0.3">
      <c r="A262" s="30">
        <v>3902</v>
      </c>
      <c r="B262" s="9"/>
      <c r="C262" s="36"/>
      <c r="D262" s="9"/>
      <c r="E262" s="9" t="s">
        <v>994</v>
      </c>
      <c r="F262" s="30" t="s">
        <v>315</v>
      </c>
      <c r="G262" s="31" t="s">
        <v>317</v>
      </c>
      <c r="H262" s="31" t="s">
        <v>317</v>
      </c>
      <c r="I262" s="31" t="s">
        <v>316</v>
      </c>
      <c r="J262" s="31" t="s">
        <v>316</v>
      </c>
      <c r="K262" s="31" t="s">
        <v>316</v>
      </c>
      <c r="L262" s="32" t="str">
        <f t="shared" si="20"/>
        <v>EXCLUDE</v>
      </c>
      <c r="M262" s="32" t="str">
        <f t="shared" si="21"/>
        <v>Wrong domain (non-AECO)</v>
      </c>
      <c r="N262" s="33"/>
      <c r="O262" s="33"/>
      <c r="P262" s="34"/>
      <c r="Q262" s="34"/>
      <c r="R262" s="34"/>
      <c r="S262" s="32" t="str">
        <f t="shared" si="22"/>
        <v/>
      </c>
      <c r="T262" s="32" t="str">
        <f t="shared" si="23"/>
        <v/>
      </c>
      <c r="U262" s="35"/>
      <c r="V262" s="35"/>
      <c r="W262" s="35"/>
      <c r="X262" s="35"/>
      <c r="Y262" s="32" t="str">
        <f t="shared" si="24"/>
        <v/>
      </c>
      <c r="Z262" s="35"/>
      <c r="AA262" s="35"/>
      <c r="AB262" s="35"/>
      <c r="AC262" s="35"/>
      <c r="AD262" s="35"/>
      <c r="AE262" s="35"/>
      <c r="AF262" s="35"/>
      <c r="AG262" s="15" t="s">
        <v>577</v>
      </c>
    </row>
    <row r="263" spans="1:33" ht="102.6" x14ac:dyDescent="0.3">
      <c r="A263" s="30">
        <v>3881</v>
      </c>
      <c r="B263" s="9" t="s">
        <v>250</v>
      </c>
      <c r="C263" s="36">
        <v>2026</v>
      </c>
      <c r="D263" s="9"/>
      <c r="E263" s="9" t="s">
        <v>995</v>
      </c>
      <c r="F263" s="30" t="s">
        <v>315</v>
      </c>
      <c r="G263" s="31" t="s">
        <v>316</v>
      </c>
      <c r="H263" s="31" t="s">
        <v>316</v>
      </c>
      <c r="I263" s="31" t="s">
        <v>316</v>
      </c>
      <c r="J263" s="31" t="s">
        <v>316</v>
      </c>
      <c r="K263" s="31" t="s">
        <v>316</v>
      </c>
      <c r="L263" s="32" t="str">
        <f t="shared" si="20"/>
        <v>INCLUDE</v>
      </c>
      <c r="M263" s="32" t="str">
        <f t="shared" si="21"/>
        <v/>
      </c>
      <c r="N263" s="33" t="s">
        <v>49</v>
      </c>
      <c r="O263" s="33" t="s">
        <v>49</v>
      </c>
      <c r="P263" s="34" t="s">
        <v>49</v>
      </c>
      <c r="Q263" s="34" t="s">
        <v>49</v>
      </c>
      <c r="R263" s="34" t="s">
        <v>49</v>
      </c>
      <c r="S263" s="32" t="str">
        <f t="shared" si="22"/>
        <v>INCLUDE</v>
      </c>
      <c r="T263" s="32" t="str">
        <f t="shared" si="23"/>
        <v/>
      </c>
      <c r="U263" s="35" t="s">
        <v>61</v>
      </c>
      <c r="V263" s="35">
        <v>0</v>
      </c>
      <c r="W263" s="35">
        <v>1</v>
      </c>
      <c r="X263" s="35">
        <v>0</v>
      </c>
      <c r="Y263" s="32" t="str">
        <f t="shared" si="24"/>
        <v>Single</v>
      </c>
      <c r="Z263" s="35" t="s">
        <v>9</v>
      </c>
      <c r="AA263" s="35" t="s">
        <v>53</v>
      </c>
      <c r="AB263" s="35" t="s">
        <v>91</v>
      </c>
      <c r="AC263" s="35" t="s">
        <v>64</v>
      </c>
      <c r="AD263" s="35" t="s">
        <v>72</v>
      </c>
      <c r="AE263" s="35">
        <v>4</v>
      </c>
      <c r="AF263" s="35" t="s">
        <v>57</v>
      </c>
      <c r="AG263" s="15" t="s">
        <v>578</v>
      </c>
    </row>
    <row r="264" spans="1:33" ht="22.8" x14ac:dyDescent="0.3">
      <c r="A264" s="30">
        <v>3798</v>
      </c>
      <c r="B264" s="9"/>
      <c r="C264" s="36"/>
      <c r="D264" s="9"/>
      <c r="E264" s="9" t="s">
        <v>996</v>
      </c>
      <c r="F264" s="30" t="s">
        <v>314</v>
      </c>
      <c r="G264" s="31" t="s">
        <v>316</v>
      </c>
      <c r="H264" s="31" t="s">
        <v>317</v>
      </c>
      <c r="I264" s="31" t="s">
        <v>316</v>
      </c>
      <c r="J264" s="31" t="s">
        <v>316</v>
      </c>
      <c r="K264" s="31" t="s">
        <v>316</v>
      </c>
      <c r="L264" s="32" t="str">
        <f t="shared" si="20"/>
        <v>EXCLUDE</v>
      </c>
      <c r="M264" s="32" t="str">
        <f t="shared" si="21"/>
        <v>Digital Twin not core / buzzword</v>
      </c>
      <c r="N264" s="33"/>
      <c r="O264" s="33"/>
      <c r="P264" s="34"/>
      <c r="Q264" s="34"/>
      <c r="R264" s="34"/>
      <c r="S264" s="32" t="str">
        <f t="shared" si="22"/>
        <v/>
      </c>
      <c r="T264" s="32" t="str">
        <f t="shared" si="23"/>
        <v/>
      </c>
      <c r="U264" s="35"/>
      <c r="V264" s="35"/>
      <c r="W264" s="35"/>
      <c r="X264" s="35"/>
      <c r="Y264" s="32" t="str">
        <f t="shared" si="24"/>
        <v/>
      </c>
      <c r="Z264" s="35"/>
      <c r="AA264" s="35"/>
      <c r="AB264" s="35"/>
      <c r="AC264" s="35"/>
      <c r="AD264" s="35"/>
      <c r="AE264" s="35"/>
      <c r="AF264" s="35"/>
      <c r="AG264" s="15" t="s">
        <v>579</v>
      </c>
    </row>
    <row r="265" spans="1:33" x14ac:dyDescent="0.3">
      <c r="A265" s="30">
        <v>3557</v>
      </c>
      <c r="B265" s="9"/>
      <c r="C265" s="36"/>
      <c r="D265" s="9"/>
      <c r="E265" s="9" t="s">
        <v>997</v>
      </c>
      <c r="F265" s="30" t="s">
        <v>314</v>
      </c>
      <c r="G265" s="31" t="s">
        <v>317</v>
      </c>
      <c r="H265" s="31" t="s">
        <v>316</v>
      </c>
      <c r="I265" s="31" t="s">
        <v>316</v>
      </c>
      <c r="J265" s="31" t="s">
        <v>316</v>
      </c>
      <c r="K265" s="31" t="s">
        <v>316</v>
      </c>
      <c r="L265" s="32" t="str">
        <f t="shared" si="20"/>
        <v>EXCLUDE</v>
      </c>
      <c r="M265" s="32" t="str">
        <f t="shared" si="21"/>
        <v>Wrong domain (non-AECO)</v>
      </c>
      <c r="N265" s="33"/>
      <c r="O265" s="33"/>
      <c r="P265" s="34"/>
      <c r="Q265" s="34"/>
      <c r="R265" s="34"/>
      <c r="S265" s="32" t="str">
        <f t="shared" si="22"/>
        <v/>
      </c>
      <c r="T265" s="32" t="str">
        <f t="shared" si="23"/>
        <v/>
      </c>
      <c r="U265" s="35"/>
      <c r="V265" s="35"/>
      <c r="W265" s="35"/>
      <c r="X265" s="35"/>
      <c r="Y265" s="32" t="str">
        <f t="shared" si="24"/>
        <v/>
      </c>
      <c r="Z265" s="35"/>
      <c r="AA265" s="35"/>
      <c r="AB265" s="35"/>
      <c r="AC265" s="35"/>
      <c r="AD265" s="35"/>
      <c r="AE265" s="35"/>
      <c r="AF265" s="35"/>
      <c r="AG265" s="15" t="s">
        <v>580</v>
      </c>
    </row>
    <row r="266" spans="1:33" ht="91.2" x14ac:dyDescent="0.3">
      <c r="A266" s="30">
        <v>3536</v>
      </c>
      <c r="B266" s="9" t="s">
        <v>251</v>
      </c>
      <c r="C266" s="36">
        <v>2024</v>
      </c>
      <c r="D266" s="9"/>
      <c r="E266" s="9" t="s">
        <v>998</v>
      </c>
      <c r="F266" s="30" t="s">
        <v>314</v>
      </c>
      <c r="G266" s="31" t="s">
        <v>316</v>
      </c>
      <c r="H266" s="31" t="s">
        <v>316</v>
      </c>
      <c r="I266" s="31" t="s">
        <v>316</v>
      </c>
      <c r="J266" s="31" t="s">
        <v>316</v>
      </c>
      <c r="K266" s="31" t="s">
        <v>316</v>
      </c>
      <c r="L266" s="32" t="str">
        <f t="shared" si="20"/>
        <v>INCLUDE</v>
      </c>
      <c r="M266" s="32" t="str">
        <f t="shared" si="21"/>
        <v/>
      </c>
      <c r="N266" s="33" t="s">
        <v>49</v>
      </c>
      <c r="O266" s="33" t="s">
        <v>49</v>
      </c>
      <c r="P266" s="34" t="s">
        <v>49</v>
      </c>
      <c r="Q266" s="34" t="s">
        <v>49</v>
      </c>
      <c r="R266" s="34" t="s">
        <v>49</v>
      </c>
      <c r="S266" s="32" t="str">
        <f t="shared" si="22"/>
        <v>INCLUDE</v>
      </c>
      <c r="T266" s="32" t="str">
        <f t="shared" si="23"/>
        <v/>
      </c>
      <c r="U266" s="35" t="s">
        <v>52</v>
      </c>
      <c r="V266" s="35">
        <v>0</v>
      </c>
      <c r="W266" s="35">
        <v>0</v>
      </c>
      <c r="X266" s="35">
        <v>1</v>
      </c>
      <c r="Y266" s="32" t="str">
        <f t="shared" si="24"/>
        <v>Single</v>
      </c>
      <c r="Z266" s="35" t="s">
        <v>9</v>
      </c>
      <c r="AA266" s="35" t="s">
        <v>53</v>
      </c>
      <c r="AB266" s="35" t="s">
        <v>88</v>
      </c>
      <c r="AC266" s="35" t="s">
        <v>64</v>
      </c>
      <c r="AD266" s="35" t="s">
        <v>72</v>
      </c>
      <c r="AE266" s="35">
        <v>4</v>
      </c>
      <c r="AF266" s="35" t="s">
        <v>84</v>
      </c>
      <c r="AG266" s="15" t="s">
        <v>581</v>
      </c>
    </row>
    <row r="267" spans="1:33" ht="22.8" x14ac:dyDescent="0.3">
      <c r="A267" s="30">
        <v>4044</v>
      </c>
      <c r="B267" s="9"/>
      <c r="C267" s="36"/>
      <c r="D267" s="9"/>
      <c r="E267" s="9" t="s">
        <v>999</v>
      </c>
      <c r="F267" s="30" t="s">
        <v>315</v>
      </c>
      <c r="G267" s="31" t="s">
        <v>316</v>
      </c>
      <c r="H267" s="31" t="s">
        <v>316</v>
      </c>
      <c r="I267" s="31" t="s">
        <v>316</v>
      </c>
      <c r="J267" s="31" t="s">
        <v>316</v>
      </c>
      <c r="K267" s="31" t="s">
        <v>316</v>
      </c>
      <c r="L267" s="32" t="str">
        <f t="shared" si="20"/>
        <v>INCLUDE</v>
      </c>
      <c r="M267" s="32" t="str">
        <f t="shared" si="21"/>
        <v/>
      </c>
      <c r="N267" s="33"/>
      <c r="O267" s="33"/>
      <c r="P267" s="34"/>
      <c r="Q267" s="34"/>
      <c r="R267" s="34"/>
      <c r="S267" s="32" t="str">
        <f t="shared" si="22"/>
        <v/>
      </c>
      <c r="T267" s="32" t="str">
        <f t="shared" si="23"/>
        <v/>
      </c>
      <c r="U267" s="35"/>
      <c r="V267" s="35"/>
      <c r="W267" s="35"/>
      <c r="X267" s="35"/>
      <c r="Y267" s="32" t="str">
        <f t="shared" si="24"/>
        <v/>
      </c>
      <c r="Z267" s="35"/>
      <c r="AA267" s="35"/>
      <c r="AB267" s="35"/>
      <c r="AC267" s="35"/>
      <c r="AD267" s="35"/>
      <c r="AE267" s="35"/>
      <c r="AF267" s="35"/>
      <c r="AG267" s="15" t="s">
        <v>582</v>
      </c>
    </row>
    <row r="268" spans="1:33" ht="22.8" x14ac:dyDescent="0.3">
      <c r="A268" s="30">
        <v>3882</v>
      </c>
      <c r="B268" s="9"/>
      <c r="C268" s="36"/>
      <c r="D268" s="9"/>
      <c r="E268" s="9" t="s">
        <v>1000</v>
      </c>
      <c r="F268" s="30" t="s">
        <v>315</v>
      </c>
      <c r="G268" s="31" t="s">
        <v>317</v>
      </c>
      <c r="H268" s="31" t="s">
        <v>316</v>
      </c>
      <c r="I268" s="31" t="s">
        <v>316</v>
      </c>
      <c r="J268" s="31" t="s">
        <v>316</v>
      </c>
      <c r="K268" s="31" t="s">
        <v>316</v>
      </c>
      <c r="L268" s="32" t="str">
        <f t="shared" si="20"/>
        <v>EXCLUDE</v>
      </c>
      <c r="M268" s="32" t="str">
        <f t="shared" si="21"/>
        <v>Wrong domain (non-AECO)</v>
      </c>
      <c r="N268" s="33"/>
      <c r="O268" s="33"/>
      <c r="P268" s="34"/>
      <c r="Q268" s="34"/>
      <c r="R268" s="34"/>
      <c r="S268" s="32" t="str">
        <f t="shared" si="22"/>
        <v/>
      </c>
      <c r="T268" s="32" t="str">
        <f t="shared" si="23"/>
        <v/>
      </c>
      <c r="U268" s="35"/>
      <c r="V268" s="35"/>
      <c r="W268" s="35"/>
      <c r="X268" s="35"/>
      <c r="Y268" s="32" t="str">
        <f t="shared" si="24"/>
        <v/>
      </c>
      <c r="Z268" s="35"/>
      <c r="AA268" s="35"/>
      <c r="AB268" s="35"/>
      <c r="AC268" s="35"/>
      <c r="AD268" s="35"/>
      <c r="AE268" s="35"/>
      <c r="AF268" s="35"/>
      <c r="AG268" s="15" t="s">
        <v>583</v>
      </c>
    </row>
    <row r="269" spans="1:33" ht="22.8" x14ac:dyDescent="0.3">
      <c r="A269" s="30">
        <v>3614</v>
      </c>
      <c r="B269" s="9"/>
      <c r="C269" s="36"/>
      <c r="D269" s="9"/>
      <c r="E269" s="9" t="s">
        <v>1001</v>
      </c>
      <c r="F269" s="30" t="s">
        <v>314</v>
      </c>
      <c r="G269" s="31" t="s">
        <v>317</v>
      </c>
      <c r="H269" s="31" t="s">
        <v>316</v>
      </c>
      <c r="I269" s="31" t="s">
        <v>316</v>
      </c>
      <c r="J269" s="31" t="s">
        <v>316</v>
      </c>
      <c r="K269" s="31" t="s">
        <v>316</v>
      </c>
      <c r="L269" s="32" t="str">
        <f t="shared" si="20"/>
        <v>EXCLUDE</v>
      </c>
      <c r="M269" s="32" t="str">
        <f t="shared" si="21"/>
        <v>Wrong domain (non-AECO)</v>
      </c>
      <c r="N269" s="33"/>
      <c r="O269" s="33"/>
      <c r="P269" s="34"/>
      <c r="Q269" s="34"/>
      <c r="R269" s="34"/>
      <c r="S269" s="32" t="str">
        <f t="shared" si="22"/>
        <v/>
      </c>
      <c r="T269" s="32" t="str">
        <f t="shared" si="23"/>
        <v/>
      </c>
      <c r="U269" s="35"/>
      <c r="V269" s="35"/>
      <c r="W269" s="35"/>
      <c r="X269" s="35"/>
      <c r="Y269" s="32" t="str">
        <f t="shared" si="24"/>
        <v/>
      </c>
      <c r="Z269" s="35"/>
      <c r="AA269" s="35"/>
      <c r="AB269" s="35"/>
      <c r="AC269" s="35"/>
      <c r="AD269" s="35"/>
      <c r="AE269" s="35"/>
      <c r="AF269" s="35"/>
      <c r="AG269" s="15" t="s">
        <v>584</v>
      </c>
    </row>
    <row r="270" spans="1:33" ht="22.8" x14ac:dyDescent="0.3">
      <c r="A270" s="30">
        <v>3710</v>
      </c>
      <c r="B270" s="9"/>
      <c r="C270" s="36"/>
      <c r="D270" s="9"/>
      <c r="E270" s="9" t="s">
        <v>1002</v>
      </c>
      <c r="F270" s="30" t="s">
        <v>314</v>
      </c>
      <c r="G270" s="31" t="s">
        <v>317</v>
      </c>
      <c r="H270" s="31" t="s">
        <v>316</v>
      </c>
      <c r="I270" s="31" t="s">
        <v>316</v>
      </c>
      <c r="J270" s="31" t="s">
        <v>316</v>
      </c>
      <c r="K270" s="31" t="s">
        <v>316</v>
      </c>
      <c r="L270" s="32" t="str">
        <f t="shared" si="20"/>
        <v>EXCLUDE</v>
      </c>
      <c r="M270" s="32" t="str">
        <f t="shared" si="21"/>
        <v>Wrong domain (non-AECO)</v>
      </c>
      <c r="N270" s="33"/>
      <c r="O270" s="33"/>
      <c r="P270" s="34"/>
      <c r="Q270" s="34"/>
      <c r="R270" s="34"/>
      <c r="S270" s="32" t="str">
        <f t="shared" si="22"/>
        <v/>
      </c>
      <c r="T270" s="32" t="str">
        <f t="shared" si="23"/>
        <v/>
      </c>
      <c r="U270" s="35"/>
      <c r="V270" s="35"/>
      <c r="W270" s="35"/>
      <c r="X270" s="35"/>
      <c r="Y270" s="32" t="str">
        <f t="shared" si="24"/>
        <v/>
      </c>
      <c r="Z270" s="35"/>
      <c r="AA270" s="35"/>
      <c r="AB270" s="35"/>
      <c r="AC270" s="35"/>
      <c r="AD270" s="35"/>
      <c r="AE270" s="35"/>
      <c r="AF270" s="35"/>
      <c r="AG270" s="15" t="s">
        <v>585</v>
      </c>
    </row>
    <row r="271" spans="1:33" ht="22.8" x14ac:dyDescent="0.3">
      <c r="A271" s="30">
        <v>3893</v>
      </c>
      <c r="B271" s="9"/>
      <c r="C271" s="36"/>
      <c r="D271" s="9"/>
      <c r="E271" s="9" t="s">
        <v>1002</v>
      </c>
      <c r="F271" s="30" t="s">
        <v>315</v>
      </c>
      <c r="G271" s="31" t="s">
        <v>317</v>
      </c>
      <c r="H271" s="31" t="s">
        <v>316</v>
      </c>
      <c r="I271" s="31" t="s">
        <v>316</v>
      </c>
      <c r="J271" s="31" t="s">
        <v>316</v>
      </c>
      <c r="K271" s="31" t="s">
        <v>316</v>
      </c>
      <c r="L271" s="32" t="str">
        <f t="shared" si="20"/>
        <v>EXCLUDE</v>
      </c>
      <c r="M271" s="32" t="str">
        <f t="shared" si="21"/>
        <v>Wrong domain (non-AECO)</v>
      </c>
      <c r="N271" s="33"/>
      <c r="O271" s="33"/>
      <c r="P271" s="34"/>
      <c r="Q271" s="34"/>
      <c r="R271" s="34"/>
      <c r="S271" s="32" t="str">
        <f t="shared" si="22"/>
        <v/>
      </c>
      <c r="T271" s="32" t="str">
        <f t="shared" si="23"/>
        <v/>
      </c>
      <c r="U271" s="35"/>
      <c r="V271" s="35"/>
      <c r="W271" s="35"/>
      <c r="X271" s="35"/>
      <c r="Y271" s="32" t="str">
        <f t="shared" si="24"/>
        <v/>
      </c>
      <c r="Z271" s="35"/>
      <c r="AA271" s="35"/>
      <c r="AB271" s="35"/>
      <c r="AC271" s="35"/>
      <c r="AD271" s="35"/>
      <c r="AE271" s="35"/>
      <c r="AF271" s="35"/>
      <c r="AG271" s="15" t="s">
        <v>586</v>
      </c>
    </row>
    <row r="272" spans="1:33" ht="91.2" x14ac:dyDescent="0.3">
      <c r="A272" s="30">
        <v>4000</v>
      </c>
      <c r="B272" s="9" t="s">
        <v>252</v>
      </c>
      <c r="C272" s="36">
        <v>2025</v>
      </c>
      <c r="D272" s="9"/>
      <c r="E272" s="9" t="s">
        <v>1003</v>
      </c>
      <c r="F272" s="30" t="s">
        <v>315</v>
      </c>
      <c r="G272" s="31" t="s">
        <v>316</v>
      </c>
      <c r="H272" s="31" t="s">
        <v>316</v>
      </c>
      <c r="I272" s="31" t="s">
        <v>316</v>
      </c>
      <c r="J272" s="31" t="s">
        <v>316</v>
      </c>
      <c r="K272" s="31" t="s">
        <v>316</v>
      </c>
      <c r="L272" s="32" t="str">
        <f t="shared" si="20"/>
        <v>INCLUDE</v>
      </c>
      <c r="M272" s="32" t="str">
        <f t="shared" si="21"/>
        <v/>
      </c>
      <c r="N272" s="33" t="s">
        <v>49</v>
      </c>
      <c r="O272" s="33" t="s">
        <v>49</v>
      </c>
      <c r="P272" s="34" t="s">
        <v>49</v>
      </c>
      <c r="Q272" s="34" t="s">
        <v>49</v>
      </c>
      <c r="R272" s="34" t="s">
        <v>49</v>
      </c>
      <c r="S272" s="32" t="str">
        <f t="shared" si="22"/>
        <v>INCLUDE</v>
      </c>
      <c r="T272" s="32" t="str">
        <f t="shared" si="23"/>
        <v/>
      </c>
      <c r="U272" s="35" t="s">
        <v>82</v>
      </c>
      <c r="V272" s="35">
        <v>0</v>
      </c>
      <c r="W272" s="35">
        <v>0</v>
      </c>
      <c r="X272" s="35">
        <v>1</v>
      </c>
      <c r="Y272" s="32" t="str">
        <f t="shared" si="24"/>
        <v>Single</v>
      </c>
      <c r="Z272" s="35" t="s">
        <v>9</v>
      </c>
      <c r="AA272" s="35" t="s">
        <v>53</v>
      </c>
      <c r="AB272" s="35" t="s">
        <v>78</v>
      </c>
      <c r="AC272" s="35" t="s">
        <v>64</v>
      </c>
      <c r="AD272" s="35" t="s">
        <v>65</v>
      </c>
      <c r="AE272" s="35">
        <v>3</v>
      </c>
      <c r="AF272" s="35" t="s">
        <v>73</v>
      </c>
      <c r="AG272" s="15" t="s">
        <v>587</v>
      </c>
    </row>
    <row r="273" spans="1:33" ht="22.8" x14ac:dyDescent="0.3">
      <c r="A273" s="30">
        <v>3627</v>
      </c>
      <c r="B273" s="9"/>
      <c r="C273" s="36"/>
      <c r="D273" s="9"/>
      <c r="E273" s="9" t="s">
        <v>1004</v>
      </c>
      <c r="F273" s="30" t="s">
        <v>314</v>
      </c>
      <c r="G273" s="31" t="s">
        <v>316</v>
      </c>
      <c r="H273" s="31" t="s">
        <v>316</v>
      </c>
      <c r="I273" s="31" t="s">
        <v>316</v>
      </c>
      <c r="J273" s="31" t="s">
        <v>316</v>
      </c>
      <c r="K273" s="31" t="s">
        <v>317</v>
      </c>
      <c r="L273" s="32" t="str">
        <f t="shared" si="20"/>
        <v>EXCLUDE</v>
      </c>
      <c r="M273" s="32" t="str">
        <f t="shared" si="21"/>
        <v>Non-English</v>
      </c>
      <c r="N273" s="33"/>
      <c r="O273" s="33"/>
      <c r="P273" s="34"/>
      <c r="Q273" s="34"/>
      <c r="R273" s="34"/>
      <c r="S273" s="32" t="str">
        <f t="shared" si="22"/>
        <v/>
      </c>
      <c r="T273" s="32" t="str">
        <f t="shared" si="23"/>
        <v/>
      </c>
      <c r="U273" s="35"/>
      <c r="V273" s="35"/>
      <c r="W273" s="35"/>
      <c r="X273" s="35"/>
      <c r="Y273" s="32" t="str">
        <f t="shared" si="24"/>
        <v/>
      </c>
      <c r="Z273" s="35"/>
      <c r="AA273" s="35"/>
      <c r="AB273" s="35"/>
      <c r="AC273" s="35"/>
      <c r="AD273" s="35"/>
      <c r="AE273" s="35"/>
      <c r="AF273" s="35"/>
      <c r="AG273" s="15" t="s">
        <v>588</v>
      </c>
    </row>
    <row r="274" spans="1:33" ht="22.8" x14ac:dyDescent="0.3">
      <c r="A274" s="30">
        <v>3892</v>
      </c>
      <c r="B274" s="9" t="s">
        <v>253</v>
      </c>
      <c r="C274" s="36">
        <v>2026</v>
      </c>
      <c r="D274" s="9"/>
      <c r="E274" s="9" t="s">
        <v>1005</v>
      </c>
      <c r="F274" s="30" t="s">
        <v>315</v>
      </c>
      <c r="G274" s="31" t="s">
        <v>316</v>
      </c>
      <c r="H274" s="31" t="s">
        <v>316</v>
      </c>
      <c r="I274" s="31" t="s">
        <v>316</v>
      </c>
      <c r="J274" s="31" t="s">
        <v>316</v>
      </c>
      <c r="K274" s="31" t="s">
        <v>316</v>
      </c>
      <c r="L274" s="32" t="str">
        <f t="shared" si="20"/>
        <v>INCLUDE</v>
      </c>
      <c r="M274" s="32" t="str">
        <f t="shared" si="21"/>
        <v/>
      </c>
      <c r="N274" s="33" t="s">
        <v>58</v>
      </c>
      <c r="O274" s="33" t="s">
        <v>58</v>
      </c>
      <c r="P274" s="34"/>
      <c r="Q274" s="34"/>
      <c r="R274" s="34"/>
      <c r="S274" s="32" t="str">
        <f t="shared" si="22"/>
        <v/>
      </c>
      <c r="T274" s="32" t="str">
        <f t="shared" si="23"/>
        <v/>
      </c>
      <c r="U274" s="35"/>
      <c r="V274" s="35"/>
      <c r="W274" s="35"/>
      <c r="X274" s="35"/>
      <c r="Y274" s="32" t="str">
        <f t="shared" si="24"/>
        <v/>
      </c>
      <c r="Z274" s="35"/>
      <c r="AA274" s="35"/>
      <c r="AB274" s="35"/>
      <c r="AC274" s="35"/>
      <c r="AD274" s="35"/>
      <c r="AE274" s="35"/>
      <c r="AF274" s="35"/>
      <c r="AG274" s="15" t="s">
        <v>589</v>
      </c>
    </row>
    <row r="275" spans="1:33" x14ac:dyDescent="0.3">
      <c r="A275" s="30">
        <v>3673</v>
      </c>
      <c r="B275" s="9"/>
      <c r="C275" s="36"/>
      <c r="D275" s="9"/>
      <c r="E275" s="9" t="s">
        <v>1006</v>
      </c>
      <c r="F275" s="30" t="s">
        <v>314</v>
      </c>
      <c r="G275" s="31" t="s">
        <v>316</v>
      </c>
      <c r="H275" s="31" t="s">
        <v>316</v>
      </c>
      <c r="I275" s="31" t="s">
        <v>316</v>
      </c>
      <c r="J275" s="31" t="s">
        <v>316</v>
      </c>
      <c r="K275" s="31" t="s">
        <v>317</v>
      </c>
      <c r="L275" s="32" t="str">
        <f t="shared" si="20"/>
        <v>EXCLUDE</v>
      </c>
      <c r="M275" s="32" t="str">
        <f t="shared" si="21"/>
        <v>Non-English</v>
      </c>
      <c r="N275" s="33"/>
      <c r="O275" s="33"/>
      <c r="P275" s="34"/>
      <c r="Q275" s="34"/>
      <c r="R275" s="34"/>
      <c r="S275" s="32" t="str">
        <f t="shared" si="22"/>
        <v/>
      </c>
      <c r="T275" s="32" t="str">
        <f t="shared" si="23"/>
        <v/>
      </c>
      <c r="U275" s="35"/>
      <c r="V275" s="35"/>
      <c r="W275" s="35"/>
      <c r="X275" s="35"/>
      <c r="Y275" s="32" t="str">
        <f t="shared" si="24"/>
        <v/>
      </c>
      <c r="Z275" s="35"/>
      <c r="AA275" s="35"/>
      <c r="AB275" s="35"/>
      <c r="AC275" s="35"/>
      <c r="AD275" s="35"/>
      <c r="AE275" s="35"/>
      <c r="AF275" s="35"/>
      <c r="AG275" s="15" t="s">
        <v>557</v>
      </c>
    </row>
    <row r="276" spans="1:33" ht="22.8" x14ac:dyDescent="0.3">
      <c r="A276" s="30">
        <v>3663</v>
      </c>
      <c r="B276" s="9"/>
      <c r="C276" s="36"/>
      <c r="D276" s="9"/>
      <c r="E276" s="9" t="s">
        <v>1007</v>
      </c>
      <c r="F276" s="30" t="s">
        <v>314</v>
      </c>
      <c r="G276" s="31" t="s">
        <v>317</v>
      </c>
      <c r="H276" s="31" t="s">
        <v>316</v>
      </c>
      <c r="I276" s="31" t="s">
        <v>316</v>
      </c>
      <c r="J276" s="31" t="s">
        <v>316</v>
      </c>
      <c r="K276" s="31" t="s">
        <v>316</v>
      </c>
      <c r="L276" s="32" t="str">
        <f t="shared" si="20"/>
        <v>EXCLUDE</v>
      </c>
      <c r="M276" s="32" t="str">
        <f t="shared" si="21"/>
        <v>Wrong domain (non-AECO)</v>
      </c>
      <c r="N276" s="33"/>
      <c r="O276" s="33"/>
      <c r="P276" s="34"/>
      <c r="Q276" s="34"/>
      <c r="R276" s="34"/>
      <c r="S276" s="32" t="str">
        <f t="shared" si="22"/>
        <v/>
      </c>
      <c r="T276" s="32" t="str">
        <f t="shared" si="23"/>
        <v/>
      </c>
      <c r="U276" s="35"/>
      <c r="V276" s="35"/>
      <c r="W276" s="35"/>
      <c r="X276" s="35"/>
      <c r="Y276" s="32" t="str">
        <f t="shared" si="24"/>
        <v/>
      </c>
      <c r="Z276" s="35"/>
      <c r="AA276" s="35"/>
      <c r="AB276" s="35"/>
      <c r="AC276" s="35"/>
      <c r="AD276" s="35"/>
      <c r="AE276" s="35"/>
      <c r="AF276" s="35"/>
      <c r="AG276" s="15" t="s">
        <v>590</v>
      </c>
    </row>
    <row r="277" spans="1:33" ht="22.8" x14ac:dyDescent="0.3">
      <c r="A277" s="30">
        <v>3791</v>
      </c>
      <c r="B277" s="9"/>
      <c r="C277" s="36"/>
      <c r="D277" s="9"/>
      <c r="E277" s="9" t="s">
        <v>1008</v>
      </c>
      <c r="F277" s="30" t="s">
        <v>314</v>
      </c>
      <c r="G277" s="31" t="s">
        <v>316</v>
      </c>
      <c r="H277" s="31" t="s">
        <v>317</v>
      </c>
      <c r="I277" s="31" t="s">
        <v>317</v>
      </c>
      <c r="J277" s="31" t="s">
        <v>316</v>
      </c>
      <c r="K277" s="31" t="s">
        <v>317</v>
      </c>
      <c r="L277" s="32" t="str">
        <f t="shared" si="20"/>
        <v>EXCLUDE</v>
      </c>
      <c r="M277" s="32" t="str">
        <f t="shared" si="21"/>
        <v>Digital Twin not core / buzzword</v>
      </c>
      <c r="N277" s="33"/>
      <c r="O277" s="33"/>
      <c r="P277" s="34"/>
      <c r="Q277" s="34"/>
      <c r="R277" s="34"/>
      <c r="S277" s="32" t="str">
        <f t="shared" si="22"/>
        <v/>
      </c>
      <c r="T277" s="32" t="str">
        <f t="shared" si="23"/>
        <v/>
      </c>
      <c r="U277" s="35"/>
      <c r="V277" s="35"/>
      <c r="W277" s="35"/>
      <c r="X277" s="35"/>
      <c r="Y277" s="32" t="str">
        <f t="shared" si="24"/>
        <v/>
      </c>
      <c r="Z277" s="35"/>
      <c r="AA277" s="35"/>
      <c r="AB277" s="35"/>
      <c r="AC277" s="35"/>
      <c r="AD277" s="35"/>
      <c r="AE277" s="35"/>
      <c r="AF277" s="35"/>
      <c r="AG277" s="15" t="s">
        <v>591</v>
      </c>
    </row>
    <row r="278" spans="1:33" ht="91.2" x14ac:dyDescent="0.3">
      <c r="A278" s="30">
        <v>4042</v>
      </c>
      <c r="B278" s="9" t="s">
        <v>254</v>
      </c>
      <c r="C278" s="36">
        <v>2025</v>
      </c>
      <c r="D278" s="9"/>
      <c r="E278" s="9" t="s">
        <v>1009</v>
      </c>
      <c r="F278" s="30" t="s">
        <v>315</v>
      </c>
      <c r="G278" s="31" t="s">
        <v>316</v>
      </c>
      <c r="H278" s="31" t="s">
        <v>316</v>
      </c>
      <c r="I278" s="31" t="s">
        <v>316</v>
      </c>
      <c r="J278" s="31" t="s">
        <v>316</v>
      </c>
      <c r="K278" s="31" t="s">
        <v>316</v>
      </c>
      <c r="L278" s="32" t="str">
        <f t="shared" si="20"/>
        <v>INCLUDE</v>
      </c>
      <c r="M278" s="32" t="str">
        <f t="shared" si="21"/>
        <v/>
      </c>
      <c r="N278" s="33" t="s">
        <v>49</v>
      </c>
      <c r="O278" s="33" t="s">
        <v>49</v>
      </c>
      <c r="P278" s="34" t="s">
        <v>58</v>
      </c>
      <c r="Q278" s="34" t="s">
        <v>49</v>
      </c>
      <c r="R278" s="34" t="s">
        <v>49</v>
      </c>
      <c r="S278" s="32" t="str">
        <f t="shared" si="22"/>
        <v>EXCLUDE</v>
      </c>
      <c r="T278" s="32" t="str">
        <f t="shared" si="23"/>
        <v>Digital Twin mentioned only, not the subject</v>
      </c>
      <c r="U278" s="35" t="s">
        <v>82</v>
      </c>
      <c r="V278" s="35"/>
      <c r="W278" s="35"/>
      <c r="X278" s="35"/>
      <c r="Y278" s="32" t="str">
        <f t="shared" si="24"/>
        <v/>
      </c>
      <c r="Z278" s="35"/>
      <c r="AA278" s="35"/>
      <c r="AB278" s="35"/>
      <c r="AC278" s="35"/>
      <c r="AD278" s="35"/>
      <c r="AE278" s="35"/>
      <c r="AF278" s="35"/>
      <c r="AG278" s="15" t="s">
        <v>592</v>
      </c>
    </row>
    <row r="279" spans="1:33" ht="22.8" x14ac:dyDescent="0.3">
      <c r="A279" s="30">
        <v>3983</v>
      </c>
      <c r="B279" s="9" t="s">
        <v>255</v>
      </c>
      <c r="C279" s="36">
        <v>2025</v>
      </c>
      <c r="D279" s="9"/>
      <c r="E279" s="9" t="s">
        <v>1010</v>
      </c>
      <c r="F279" s="30" t="s">
        <v>315</v>
      </c>
      <c r="G279" s="31" t="s">
        <v>316</v>
      </c>
      <c r="H279" s="31" t="s">
        <v>316</v>
      </c>
      <c r="I279" s="31" t="s">
        <v>316</v>
      </c>
      <c r="J279" s="31" t="s">
        <v>316</v>
      </c>
      <c r="K279" s="31" t="s">
        <v>316</v>
      </c>
      <c r="L279" s="32" t="str">
        <f t="shared" si="20"/>
        <v>INCLUDE</v>
      </c>
      <c r="M279" s="32" t="str">
        <f t="shared" si="21"/>
        <v/>
      </c>
      <c r="N279" s="33" t="s">
        <v>58</v>
      </c>
      <c r="O279" s="33" t="s">
        <v>58</v>
      </c>
      <c r="P279" s="34"/>
      <c r="Q279" s="34"/>
      <c r="R279" s="34"/>
      <c r="S279" s="32" t="str">
        <f t="shared" si="22"/>
        <v/>
      </c>
      <c r="T279" s="32" t="str">
        <f t="shared" si="23"/>
        <v/>
      </c>
      <c r="U279" s="35"/>
      <c r="V279" s="35"/>
      <c r="W279" s="35"/>
      <c r="X279" s="35"/>
      <c r="Y279" s="32" t="str">
        <f t="shared" si="24"/>
        <v/>
      </c>
      <c r="Z279" s="35"/>
      <c r="AA279" s="35"/>
      <c r="AB279" s="35"/>
      <c r="AC279" s="35"/>
      <c r="AD279" s="35"/>
      <c r="AE279" s="35"/>
      <c r="AF279" s="35"/>
      <c r="AG279" s="15" t="s">
        <v>593</v>
      </c>
    </row>
    <row r="280" spans="1:33" ht="22.8" x14ac:dyDescent="0.3">
      <c r="A280" s="30">
        <v>3957</v>
      </c>
      <c r="B280" s="9"/>
      <c r="C280" s="36"/>
      <c r="D280" s="9"/>
      <c r="E280" s="9" t="s">
        <v>1011</v>
      </c>
      <c r="F280" s="30" t="s">
        <v>315</v>
      </c>
      <c r="G280" s="31" t="s">
        <v>316</v>
      </c>
      <c r="H280" s="31" t="s">
        <v>317</v>
      </c>
      <c r="I280" s="31" t="s">
        <v>317</v>
      </c>
      <c r="J280" s="31" t="s">
        <v>316</v>
      </c>
      <c r="K280" s="31" t="s">
        <v>316</v>
      </c>
      <c r="L280" s="32" t="str">
        <f t="shared" si="20"/>
        <v>EXCLUDE</v>
      </c>
      <c r="M280" s="32" t="str">
        <f t="shared" si="21"/>
        <v>Digital Twin not core / buzzword</v>
      </c>
      <c r="N280" s="33"/>
      <c r="O280" s="33"/>
      <c r="P280" s="34"/>
      <c r="Q280" s="34"/>
      <c r="R280" s="34"/>
      <c r="S280" s="32" t="str">
        <f t="shared" si="22"/>
        <v/>
      </c>
      <c r="T280" s="32" t="str">
        <f t="shared" si="23"/>
        <v/>
      </c>
      <c r="U280" s="35"/>
      <c r="V280" s="35"/>
      <c r="W280" s="35"/>
      <c r="X280" s="35"/>
      <c r="Y280" s="32" t="str">
        <f t="shared" si="24"/>
        <v/>
      </c>
      <c r="Z280" s="35"/>
      <c r="AA280" s="35"/>
      <c r="AB280" s="35"/>
      <c r="AC280" s="35"/>
      <c r="AD280" s="35"/>
      <c r="AE280" s="35"/>
      <c r="AF280" s="35"/>
      <c r="AG280" s="15" t="s">
        <v>594</v>
      </c>
    </row>
    <row r="281" spans="1:33" ht="22.8" x14ac:dyDescent="0.3">
      <c r="A281" s="30">
        <v>3714</v>
      </c>
      <c r="B281" s="9"/>
      <c r="C281" s="36"/>
      <c r="D281" s="9"/>
      <c r="E281" s="9" t="s">
        <v>1012</v>
      </c>
      <c r="F281" s="30" t="s">
        <v>314</v>
      </c>
      <c r="G281" s="31" t="s">
        <v>317</v>
      </c>
      <c r="H281" s="31" t="s">
        <v>316</v>
      </c>
      <c r="I281" s="31" t="s">
        <v>316</v>
      </c>
      <c r="J281" s="31" t="s">
        <v>316</v>
      </c>
      <c r="K281" s="31" t="s">
        <v>316</v>
      </c>
      <c r="L281" s="32" t="str">
        <f t="shared" si="20"/>
        <v>EXCLUDE</v>
      </c>
      <c r="M281" s="32" t="str">
        <f t="shared" si="21"/>
        <v>Wrong domain (non-AECO)</v>
      </c>
      <c r="N281" s="33"/>
      <c r="O281" s="33"/>
      <c r="P281" s="34"/>
      <c r="Q281" s="34"/>
      <c r="R281" s="34"/>
      <c r="S281" s="32" t="str">
        <f t="shared" si="22"/>
        <v/>
      </c>
      <c r="T281" s="32" t="str">
        <f t="shared" si="23"/>
        <v/>
      </c>
      <c r="U281" s="35"/>
      <c r="V281" s="35"/>
      <c r="W281" s="35"/>
      <c r="X281" s="35"/>
      <c r="Y281" s="32" t="str">
        <f t="shared" si="24"/>
        <v/>
      </c>
      <c r="Z281" s="35"/>
      <c r="AA281" s="35"/>
      <c r="AB281" s="35"/>
      <c r="AC281" s="35"/>
      <c r="AD281" s="35"/>
      <c r="AE281" s="35"/>
      <c r="AF281" s="35"/>
      <c r="AG281" s="15" t="s">
        <v>595</v>
      </c>
    </row>
    <row r="282" spans="1:33" ht="22.8" x14ac:dyDescent="0.3">
      <c r="A282" s="30">
        <v>3634</v>
      </c>
      <c r="B282" s="9"/>
      <c r="C282" s="36"/>
      <c r="D282" s="9"/>
      <c r="E282" s="9" t="s">
        <v>1013</v>
      </c>
      <c r="F282" s="30" t="s">
        <v>314</v>
      </c>
      <c r="G282" s="31" t="s">
        <v>317</v>
      </c>
      <c r="H282" s="31" t="s">
        <v>316</v>
      </c>
      <c r="I282" s="31" t="s">
        <v>316</v>
      </c>
      <c r="J282" s="31" t="s">
        <v>316</v>
      </c>
      <c r="K282" s="31" t="s">
        <v>316</v>
      </c>
      <c r="L282" s="32" t="str">
        <f t="shared" si="20"/>
        <v>EXCLUDE</v>
      </c>
      <c r="M282" s="32" t="str">
        <f t="shared" si="21"/>
        <v>Wrong domain (non-AECO)</v>
      </c>
      <c r="N282" s="33"/>
      <c r="O282" s="33"/>
      <c r="P282" s="34"/>
      <c r="Q282" s="34"/>
      <c r="R282" s="34"/>
      <c r="S282" s="32" t="str">
        <f t="shared" si="22"/>
        <v/>
      </c>
      <c r="T282" s="32" t="str">
        <f t="shared" si="23"/>
        <v/>
      </c>
      <c r="U282" s="35"/>
      <c r="V282" s="35"/>
      <c r="W282" s="35"/>
      <c r="X282" s="35"/>
      <c r="Y282" s="32" t="str">
        <f t="shared" si="24"/>
        <v/>
      </c>
      <c r="Z282" s="35"/>
      <c r="AA282" s="35"/>
      <c r="AB282" s="35"/>
      <c r="AC282" s="35"/>
      <c r="AD282" s="35"/>
      <c r="AE282" s="35"/>
      <c r="AF282" s="35"/>
      <c r="AG282" s="15" t="s">
        <v>596</v>
      </c>
    </row>
    <row r="283" spans="1:33" ht="22.8" x14ac:dyDescent="0.3">
      <c r="A283" s="30">
        <v>3772</v>
      </c>
      <c r="B283" s="9"/>
      <c r="C283" s="36"/>
      <c r="D283" s="9"/>
      <c r="E283" s="9" t="s">
        <v>1014</v>
      </c>
      <c r="F283" s="30" t="s">
        <v>314</v>
      </c>
      <c r="G283" s="31" t="s">
        <v>317</v>
      </c>
      <c r="H283" s="31" t="s">
        <v>316</v>
      </c>
      <c r="I283" s="31" t="s">
        <v>316</v>
      </c>
      <c r="J283" s="31" t="s">
        <v>316</v>
      </c>
      <c r="K283" s="31" t="s">
        <v>316</v>
      </c>
      <c r="L283" s="32" t="str">
        <f t="shared" si="20"/>
        <v>EXCLUDE</v>
      </c>
      <c r="M283" s="32" t="str">
        <f t="shared" si="21"/>
        <v>Wrong domain (non-AECO)</v>
      </c>
      <c r="N283" s="33"/>
      <c r="O283" s="33"/>
      <c r="P283" s="34"/>
      <c r="Q283" s="34"/>
      <c r="R283" s="34"/>
      <c r="S283" s="32" t="str">
        <f t="shared" si="22"/>
        <v/>
      </c>
      <c r="T283" s="32" t="str">
        <f t="shared" si="23"/>
        <v/>
      </c>
      <c r="U283" s="35"/>
      <c r="V283" s="35"/>
      <c r="W283" s="35"/>
      <c r="X283" s="35"/>
      <c r="Y283" s="32" t="str">
        <f t="shared" si="24"/>
        <v/>
      </c>
      <c r="Z283" s="35"/>
      <c r="AA283" s="35"/>
      <c r="AB283" s="35"/>
      <c r="AC283" s="35"/>
      <c r="AD283" s="35"/>
      <c r="AE283" s="35"/>
      <c r="AF283" s="35"/>
      <c r="AG283" s="15" t="s">
        <v>597</v>
      </c>
    </row>
    <row r="284" spans="1:33" ht="22.8" x14ac:dyDescent="0.3">
      <c r="A284" s="30">
        <v>3810</v>
      </c>
      <c r="B284" s="9" t="s">
        <v>256</v>
      </c>
      <c r="C284" s="36">
        <v>2023</v>
      </c>
      <c r="D284" s="9"/>
      <c r="E284" s="9" t="s">
        <v>1015</v>
      </c>
      <c r="F284" s="30" t="s">
        <v>314</v>
      </c>
      <c r="G284" s="31" t="s">
        <v>316</v>
      </c>
      <c r="H284" s="31" t="s">
        <v>316</v>
      </c>
      <c r="I284" s="31" t="s">
        <v>316</v>
      </c>
      <c r="J284" s="31" t="s">
        <v>316</v>
      </c>
      <c r="K284" s="31" t="s">
        <v>316</v>
      </c>
      <c r="L284" s="32" t="str">
        <f t="shared" si="20"/>
        <v>INCLUDE</v>
      </c>
      <c r="M284" s="32" t="str">
        <f t="shared" si="21"/>
        <v/>
      </c>
      <c r="N284" s="33" t="s">
        <v>58</v>
      </c>
      <c r="O284" s="33" t="s">
        <v>58</v>
      </c>
      <c r="P284" s="34"/>
      <c r="Q284" s="34"/>
      <c r="R284" s="34"/>
      <c r="S284" s="32" t="str">
        <f t="shared" si="22"/>
        <v/>
      </c>
      <c r="T284" s="32" t="str">
        <f t="shared" si="23"/>
        <v/>
      </c>
      <c r="U284" s="35"/>
      <c r="V284" s="35"/>
      <c r="W284" s="35"/>
      <c r="X284" s="35"/>
      <c r="Y284" s="32" t="str">
        <f t="shared" si="24"/>
        <v/>
      </c>
      <c r="Z284" s="35"/>
      <c r="AA284" s="35"/>
      <c r="AB284" s="35"/>
      <c r="AC284" s="35"/>
      <c r="AD284" s="35"/>
      <c r="AE284" s="35"/>
      <c r="AF284" s="35"/>
      <c r="AG284" s="15" t="s">
        <v>598</v>
      </c>
    </row>
    <row r="285" spans="1:33" ht="22.8" x14ac:dyDescent="0.3">
      <c r="A285" s="30">
        <v>4047</v>
      </c>
      <c r="B285" s="9"/>
      <c r="C285" s="36"/>
      <c r="D285" s="9"/>
      <c r="E285" s="9" t="s">
        <v>1016</v>
      </c>
      <c r="F285" s="30" t="s">
        <v>315</v>
      </c>
      <c r="G285" s="31" t="s">
        <v>316</v>
      </c>
      <c r="H285" s="31" t="s">
        <v>317</v>
      </c>
      <c r="I285" s="31" t="s">
        <v>317</v>
      </c>
      <c r="J285" s="31" t="s">
        <v>316</v>
      </c>
      <c r="K285" s="31" t="s">
        <v>316</v>
      </c>
      <c r="L285" s="32" t="str">
        <f t="shared" si="20"/>
        <v>EXCLUDE</v>
      </c>
      <c r="M285" s="32" t="str">
        <f t="shared" si="21"/>
        <v>Digital Twin not core / buzzword</v>
      </c>
      <c r="N285" s="33"/>
      <c r="O285" s="33"/>
      <c r="P285" s="34"/>
      <c r="Q285" s="34"/>
      <c r="R285" s="34"/>
      <c r="S285" s="32" t="str">
        <f t="shared" si="22"/>
        <v/>
      </c>
      <c r="T285" s="32" t="str">
        <f t="shared" si="23"/>
        <v/>
      </c>
      <c r="U285" s="35"/>
      <c r="V285" s="35"/>
      <c r="W285" s="35"/>
      <c r="X285" s="35"/>
      <c r="Y285" s="32" t="str">
        <f t="shared" si="24"/>
        <v/>
      </c>
      <c r="Z285" s="35"/>
      <c r="AA285" s="35"/>
      <c r="AB285" s="35"/>
      <c r="AC285" s="35"/>
      <c r="AD285" s="35"/>
      <c r="AE285" s="35"/>
      <c r="AF285" s="35"/>
      <c r="AG285" s="15" t="s">
        <v>599</v>
      </c>
    </row>
    <row r="286" spans="1:33" ht="22.8" x14ac:dyDescent="0.3">
      <c r="A286" s="30">
        <v>4052</v>
      </c>
      <c r="B286" s="9"/>
      <c r="C286" s="36"/>
      <c r="D286" s="9"/>
      <c r="E286" s="9" t="s">
        <v>1017</v>
      </c>
      <c r="F286" s="30" t="s">
        <v>315</v>
      </c>
      <c r="G286" s="31" t="s">
        <v>316</v>
      </c>
      <c r="H286" s="31" t="s">
        <v>317</v>
      </c>
      <c r="I286" s="31" t="s">
        <v>317</v>
      </c>
      <c r="J286" s="31" t="s">
        <v>316</v>
      </c>
      <c r="K286" s="31" t="s">
        <v>316</v>
      </c>
      <c r="L286" s="32" t="str">
        <f t="shared" si="20"/>
        <v>EXCLUDE</v>
      </c>
      <c r="M286" s="32" t="str">
        <f t="shared" si="21"/>
        <v>Digital Twin not core / buzzword</v>
      </c>
      <c r="N286" s="33"/>
      <c r="O286" s="33"/>
      <c r="P286" s="34"/>
      <c r="Q286" s="34"/>
      <c r="R286" s="34"/>
      <c r="S286" s="32" t="str">
        <f t="shared" si="22"/>
        <v/>
      </c>
      <c r="T286" s="32" t="str">
        <f t="shared" si="23"/>
        <v/>
      </c>
      <c r="U286" s="35"/>
      <c r="V286" s="35"/>
      <c r="W286" s="35"/>
      <c r="X286" s="35"/>
      <c r="Y286" s="32" t="str">
        <f t="shared" si="24"/>
        <v/>
      </c>
      <c r="Z286" s="35"/>
      <c r="AA286" s="35"/>
      <c r="AB286" s="35"/>
      <c r="AC286" s="35"/>
      <c r="AD286" s="35"/>
      <c r="AE286" s="35"/>
      <c r="AF286" s="35"/>
      <c r="AG286" s="15" t="s">
        <v>600</v>
      </c>
    </row>
    <row r="287" spans="1:33" ht="22.8" x14ac:dyDescent="0.3">
      <c r="A287" s="30">
        <v>3722</v>
      </c>
      <c r="B287" s="9"/>
      <c r="C287" s="36"/>
      <c r="D287" s="9"/>
      <c r="E287" s="9" t="s">
        <v>1018</v>
      </c>
      <c r="F287" s="30" t="s">
        <v>314</v>
      </c>
      <c r="G287" s="31" t="s">
        <v>316</v>
      </c>
      <c r="H287" s="31" t="s">
        <v>317</v>
      </c>
      <c r="I287" s="31" t="s">
        <v>316</v>
      </c>
      <c r="J287" s="31" t="s">
        <v>316</v>
      </c>
      <c r="K287" s="31" t="s">
        <v>316</v>
      </c>
      <c r="L287" s="32" t="str">
        <f t="shared" si="20"/>
        <v>EXCLUDE</v>
      </c>
      <c r="M287" s="32" t="str">
        <f t="shared" si="21"/>
        <v>Digital Twin not core / buzzword</v>
      </c>
      <c r="N287" s="33"/>
      <c r="O287" s="33"/>
      <c r="P287" s="34"/>
      <c r="Q287" s="34"/>
      <c r="R287" s="34"/>
      <c r="S287" s="32" t="str">
        <f t="shared" si="22"/>
        <v/>
      </c>
      <c r="T287" s="32" t="str">
        <f t="shared" si="23"/>
        <v/>
      </c>
      <c r="U287" s="35"/>
      <c r="V287" s="35"/>
      <c r="W287" s="35"/>
      <c r="X287" s="35"/>
      <c r="Y287" s="32" t="str">
        <f t="shared" si="24"/>
        <v/>
      </c>
      <c r="Z287" s="35"/>
      <c r="AA287" s="35"/>
      <c r="AB287" s="35"/>
      <c r="AC287" s="35"/>
      <c r="AD287" s="35"/>
      <c r="AE287" s="35"/>
      <c r="AF287" s="35"/>
      <c r="AG287" s="15" t="s">
        <v>601</v>
      </c>
    </row>
    <row r="288" spans="1:33" ht="22.8" x14ac:dyDescent="0.3">
      <c r="A288" s="30">
        <v>4043</v>
      </c>
      <c r="B288" s="9"/>
      <c r="C288" s="36"/>
      <c r="D288" s="9"/>
      <c r="E288" s="9" t="s">
        <v>1019</v>
      </c>
      <c r="F288" s="30" t="s">
        <v>315</v>
      </c>
      <c r="G288" s="31" t="s">
        <v>316</v>
      </c>
      <c r="H288" s="31" t="s">
        <v>317</v>
      </c>
      <c r="I288" s="31" t="s">
        <v>316</v>
      </c>
      <c r="J288" s="31" t="s">
        <v>316</v>
      </c>
      <c r="K288" s="31" t="s">
        <v>316</v>
      </c>
      <c r="L288" s="32" t="str">
        <f t="shared" si="20"/>
        <v>EXCLUDE</v>
      </c>
      <c r="M288" s="32" t="str">
        <f t="shared" si="21"/>
        <v>Digital Twin not core / buzzword</v>
      </c>
      <c r="N288" s="33"/>
      <c r="O288" s="33"/>
      <c r="P288" s="34"/>
      <c r="Q288" s="34"/>
      <c r="R288" s="34"/>
      <c r="S288" s="32" t="str">
        <f t="shared" si="22"/>
        <v/>
      </c>
      <c r="T288" s="32" t="str">
        <f t="shared" si="23"/>
        <v/>
      </c>
      <c r="U288" s="35"/>
      <c r="V288" s="35"/>
      <c r="W288" s="35"/>
      <c r="X288" s="35"/>
      <c r="Y288" s="32" t="str">
        <f t="shared" si="24"/>
        <v/>
      </c>
      <c r="Z288" s="35"/>
      <c r="AA288" s="35"/>
      <c r="AB288" s="35"/>
      <c r="AC288" s="35"/>
      <c r="AD288" s="35"/>
      <c r="AE288" s="35"/>
      <c r="AF288" s="35"/>
      <c r="AG288" s="15" t="s">
        <v>602</v>
      </c>
    </row>
    <row r="289" spans="1:33" ht="22.8" x14ac:dyDescent="0.3">
      <c r="A289" s="30">
        <v>3818</v>
      </c>
      <c r="B289" s="9"/>
      <c r="C289" s="36"/>
      <c r="D289" s="9"/>
      <c r="E289" s="9" t="s">
        <v>1020</v>
      </c>
      <c r="F289" s="30" t="s">
        <v>314</v>
      </c>
      <c r="G289" s="31" t="s">
        <v>316</v>
      </c>
      <c r="H289" s="31" t="s">
        <v>317</v>
      </c>
      <c r="I289" s="31" t="s">
        <v>317</v>
      </c>
      <c r="J289" s="31" t="s">
        <v>316</v>
      </c>
      <c r="K289" s="31" t="s">
        <v>316</v>
      </c>
      <c r="L289" s="32" t="str">
        <f t="shared" si="20"/>
        <v>EXCLUDE</v>
      </c>
      <c r="M289" s="32" t="str">
        <f t="shared" si="21"/>
        <v>Digital Twin not core / buzzword</v>
      </c>
      <c r="N289" s="33"/>
      <c r="O289" s="33"/>
      <c r="P289" s="34"/>
      <c r="Q289" s="34"/>
      <c r="R289" s="34"/>
      <c r="S289" s="32" t="str">
        <f t="shared" si="22"/>
        <v/>
      </c>
      <c r="T289" s="32" t="str">
        <f t="shared" si="23"/>
        <v/>
      </c>
      <c r="U289" s="35"/>
      <c r="V289" s="35"/>
      <c r="W289" s="35"/>
      <c r="X289" s="35"/>
      <c r="Y289" s="32" t="str">
        <f t="shared" si="24"/>
        <v/>
      </c>
      <c r="Z289" s="35"/>
      <c r="AA289" s="35"/>
      <c r="AB289" s="35"/>
      <c r="AC289" s="35"/>
      <c r="AD289" s="35"/>
      <c r="AE289" s="35"/>
      <c r="AF289" s="35"/>
      <c r="AG289" s="15" t="s">
        <v>603</v>
      </c>
    </row>
    <row r="290" spans="1:33" ht="22.8" x14ac:dyDescent="0.3">
      <c r="A290" s="30">
        <v>3900</v>
      </c>
      <c r="B290" s="9"/>
      <c r="C290" s="36"/>
      <c r="D290" s="9"/>
      <c r="E290" s="9" t="s">
        <v>1021</v>
      </c>
      <c r="F290" s="30" t="s">
        <v>315</v>
      </c>
      <c r="G290" s="31" t="s">
        <v>316</v>
      </c>
      <c r="H290" s="31" t="s">
        <v>317</v>
      </c>
      <c r="I290" s="31" t="s">
        <v>317</v>
      </c>
      <c r="J290" s="31" t="s">
        <v>316</v>
      </c>
      <c r="K290" s="31" t="s">
        <v>316</v>
      </c>
      <c r="L290" s="32" t="str">
        <f t="shared" si="20"/>
        <v>EXCLUDE</v>
      </c>
      <c r="M290" s="32" t="str">
        <f t="shared" si="21"/>
        <v>Digital Twin not core / buzzword</v>
      </c>
      <c r="N290" s="33"/>
      <c r="O290" s="33"/>
      <c r="P290" s="34"/>
      <c r="Q290" s="34"/>
      <c r="R290" s="34"/>
      <c r="S290" s="32" t="str">
        <f t="shared" si="22"/>
        <v/>
      </c>
      <c r="T290" s="32" t="str">
        <f t="shared" si="23"/>
        <v/>
      </c>
      <c r="U290" s="35"/>
      <c r="V290" s="35"/>
      <c r="W290" s="35"/>
      <c r="X290" s="35"/>
      <c r="Y290" s="32" t="str">
        <f t="shared" si="24"/>
        <v/>
      </c>
      <c r="Z290" s="35"/>
      <c r="AA290" s="35"/>
      <c r="AB290" s="35"/>
      <c r="AC290" s="35"/>
      <c r="AD290" s="35"/>
      <c r="AE290" s="35"/>
      <c r="AF290" s="35"/>
      <c r="AG290" s="15" t="s">
        <v>604</v>
      </c>
    </row>
    <row r="291" spans="1:33" x14ac:dyDescent="0.3">
      <c r="A291" s="30">
        <v>3914</v>
      </c>
      <c r="B291" s="9"/>
      <c r="C291" s="36"/>
      <c r="D291" s="9"/>
      <c r="E291" s="9" t="s">
        <v>1022</v>
      </c>
      <c r="F291" s="30" t="s">
        <v>315</v>
      </c>
      <c r="G291" s="31" t="s">
        <v>316</v>
      </c>
      <c r="H291" s="31" t="s">
        <v>316</v>
      </c>
      <c r="I291" s="31" t="s">
        <v>316</v>
      </c>
      <c r="J291" s="31" t="s">
        <v>316</v>
      </c>
      <c r="K291" s="31" t="s">
        <v>317</v>
      </c>
      <c r="L291" s="32" t="str">
        <f t="shared" si="20"/>
        <v>EXCLUDE</v>
      </c>
      <c r="M291" s="32" t="str">
        <f t="shared" si="21"/>
        <v>Non-English</v>
      </c>
      <c r="N291" s="33"/>
      <c r="O291" s="33"/>
      <c r="P291" s="34"/>
      <c r="Q291" s="34"/>
      <c r="R291" s="34"/>
      <c r="S291" s="32" t="str">
        <f t="shared" si="22"/>
        <v/>
      </c>
      <c r="T291" s="32" t="str">
        <f t="shared" si="23"/>
        <v/>
      </c>
      <c r="U291" s="35"/>
      <c r="V291" s="35"/>
      <c r="W291" s="35"/>
      <c r="X291" s="35"/>
      <c r="Y291" s="32" t="str">
        <f t="shared" si="24"/>
        <v/>
      </c>
      <c r="Z291" s="35"/>
      <c r="AA291" s="35"/>
      <c r="AB291" s="35"/>
      <c r="AC291" s="35"/>
      <c r="AD291" s="35"/>
      <c r="AE291" s="35"/>
      <c r="AF291" s="35"/>
      <c r="AG291" s="15" t="s">
        <v>605</v>
      </c>
    </row>
    <row r="292" spans="1:33" ht="22.8" x14ac:dyDescent="0.3">
      <c r="A292" s="30">
        <v>3929</v>
      </c>
      <c r="B292" s="9"/>
      <c r="C292" s="36"/>
      <c r="D292" s="9"/>
      <c r="E292" s="9" t="s">
        <v>1023</v>
      </c>
      <c r="F292" s="30" t="s">
        <v>315</v>
      </c>
      <c r="G292" s="31" t="s">
        <v>316</v>
      </c>
      <c r="H292" s="31" t="s">
        <v>316</v>
      </c>
      <c r="I292" s="31" t="s">
        <v>316</v>
      </c>
      <c r="J292" s="31" t="s">
        <v>316</v>
      </c>
      <c r="K292" s="31" t="s">
        <v>317</v>
      </c>
      <c r="L292" s="32" t="str">
        <f t="shared" si="20"/>
        <v>EXCLUDE</v>
      </c>
      <c r="M292" s="32" t="str">
        <f t="shared" si="21"/>
        <v>Non-English</v>
      </c>
      <c r="N292" s="33"/>
      <c r="O292" s="33"/>
      <c r="P292" s="34"/>
      <c r="Q292" s="34"/>
      <c r="R292" s="34"/>
      <c r="S292" s="32" t="str">
        <f t="shared" si="22"/>
        <v/>
      </c>
      <c r="T292" s="32" t="str">
        <f t="shared" si="23"/>
        <v/>
      </c>
      <c r="U292" s="35"/>
      <c r="V292" s="35"/>
      <c r="W292" s="35"/>
      <c r="X292" s="35"/>
      <c r="Y292" s="32" t="str">
        <f t="shared" si="24"/>
        <v/>
      </c>
      <c r="Z292" s="35"/>
      <c r="AA292" s="35"/>
      <c r="AB292" s="35"/>
      <c r="AC292" s="35"/>
      <c r="AD292" s="35"/>
      <c r="AE292" s="35"/>
      <c r="AF292" s="35"/>
      <c r="AG292" s="15" t="s">
        <v>557</v>
      </c>
    </row>
    <row r="293" spans="1:33" ht="22.8" x14ac:dyDescent="0.3">
      <c r="A293" s="30">
        <v>3713</v>
      </c>
      <c r="B293" s="9" t="s">
        <v>257</v>
      </c>
      <c r="C293" s="36">
        <v>2026</v>
      </c>
      <c r="D293" s="9"/>
      <c r="E293" s="9" t="s">
        <v>1024</v>
      </c>
      <c r="F293" s="30" t="s">
        <v>314</v>
      </c>
      <c r="G293" s="31" t="s">
        <v>316</v>
      </c>
      <c r="H293" s="31" t="s">
        <v>316</v>
      </c>
      <c r="I293" s="31" t="s">
        <v>316</v>
      </c>
      <c r="J293" s="31" t="s">
        <v>316</v>
      </c>
      <c r="K293" s="31" t="s">
        <v>316</v>
      </c>
      <c r="L293" s="32" t="str">
        <f t="shared" si="20"/>
        <v>INCLUDE</v>
      </c>
      <c r="M293" s="32" t="str">
        <f t="shared" si="21"/>
        <v/>
      </c>
      <c r="N293" s="33" t="s">
        <v>58</v>
      </c>
      <c r="O293" s="33" t="s">
        <v>58</v>
      </c>
      <c r="P293" s="34"/>
      <c r="Q293" s="34"/>
      <c r="R293" s="34"/>
      <c r="S293" s="32" t="str">
        <f t="shared" si="22"/>
        <v/>
      </c>
      <c r="T293" s="32" t="str">
        <f t="shared" si="23"/>
        <v/>
      </c>
      <c r="U293" s="35"/>
      <c r="V293" s="35"/>
      <c r="W293" s="35"/>
      <c r="X293" s="35"/>
      <c r="Y293" s="32" t="str">
        <f t="shared" si="24"/>
        <v/>
      </c>
      <c r="Z293" s="35"/>
      <c r="AA293" s="35"/>
      <c r="AB293" s="35"/>
      <c r="AC293" s="35"/>
      <c r="AD293" s="35"/>
      <c r="AE293" s="35"/>
      <c r="AF293" s="35"/>
      <c r="AG293" s="15" t="s">
        <v>606</v>
      </c>
    </row>
    <row r="294" spans="1:33" ht="22.8" x14ac:dyDescent="0.3">
      <c r="A294" s="30">
        <v>3884</v>
      </c>
      <c r="B294" s="9"/>
      <c r="C294" s="36"/>
      <c r="D294" s="9"/>
      <c r="E294" s="9" t="s">
        <v>1025</v>
      </c>
      <c r="F294" s="30" t="s">
        <v>315</v>
      </c>
      <c r="G294" s="31" t="s">
        <v>316</v>
      </c>
      <c r="H294" s="31" t="s">
        <v>317</v>
      </c>
      <c r="I294" s="31" t="s">
        <v>317</v>
      </c>
      <c r="J294" s="31" t="s">
        <v>316</v>
      </c>
      <c r="K294" s="31" t="s">
        <v>316</v>
      </c>
      <c r="L294" s="32" t="str">
        <f t="shared" si="20"/>
        <v>EXCLUDE</v>
      </c>
      <c r="M294" s="32" t="str">
        <f t="shared" si="21"/>
        <v>Digital Twin not core / buzzword</v>
      </c>
      <c r="N294" s="33"/>
      <c r="O294" s="33"/>
      <c r="P294" s="34"/>
      <c r="Q294" s="34"/>
      <c r="R294" s="34"/>
      <c r="S294" s="32" t="str">
        <f t="shared" si="22"/>
        <v/>
      </c>
      <c r="T294" s="32" t="str">
        <f t="shared" si="23"/>
        <v/>
      </c>
      <c r="U294" s="35"/>
      <c r="V294" s="35"/>
      <c r="W294" s="35"/>
      <c r="X294" s="35"/>
      <c r="Y294" s="32" t="str">
        <f t="shared" si="24"/>
        <v/>
      </c>
      <c r="Z294" s="35"/>
      <c r="AA294" s="35"/>
      <c r="AB294" s="35"/>
      <c r="AC294" s="35"/>
      <c r="AD294" s="35"/>
      <c r="AE294" s="35"/>
      <c r="AF294" s="35"/>
      <c r="AG294" s="15" t="s">
        <v>607</v>
      </c>
    </row>
    <row r="295" spans="1:33" ht="22.8" x14ac:dyDescent="0.3">
      <c r="A295" s="30">
        <v>3532</v>
      </c>
      <c r="B295" s="9" t="s">
        <v>258</v>
      </c>
      <c r="C295" s="36">
        <v>2025</v>
      </c>
      <c r="D295" s="9"/>
      <c r="E295" s="9" t="s">
        <v>1026</v>
      </c>
      <c r="F295" s="30" t="s">
        <v>314</v>
      </c>
      <c r="G295" s="31" t="s">
        <v>316</v>
      </c>
      <c r="H295" s="31" t="s">
        <v>316</v>
      </c>
      <c r="I295" s="31" t="s">
        <v>316</v>
      </c>
      <c r="J295" s="31" t="s">
        <v>316</v>
      </c>
      <c r="K295" s="31" t="s">
        <v>316</v>
      </c>
      <c r="L295" s="32" t="str">
        <f t="shared" si="20"/>
        <v>INCLUDE</v>
      </c>
      <c r="M295" s="32" t="str">
        <f t="shared" si="21"/>
        <v/>
      </c>
      <c r="N295" s="33" t="s">
        <v>58</v>
      </c>
      <c r="O295" s="33" t="s">
        <v>58</v>
      </c>
      <c r="P295" s="34"/>
      <c r="Q295" s="34"/>
      <c r="R295" s="34"/>
      <c r="S295" s="32" t="str">
        <f t="shared" si="22"/>
        <v/>
      </c>
      <c r="T295" s="32" t="str">
        <f t="shared" si="23"/>
        <v/>
      </c>
      <c r="U295" s="35"/>
      <c r="V295" s="35"/>
      <c r="W295" s="35"/>
      <c r="X295" s="35"/>
      <c r="Y295" s="32" t="str">
        <f t="shared" si="24"/>
        <v/>
      </c>
      <c r="Z295" s="35"/>
      <c r="AA295" s="35"/>
      <c r="AB295" s="35"/>
      <c r="AC295" s="35"/>
      <c r="AD295" s="35"/>
      <c r="AE295" s="35"/>
      <c r="AF295" s="35"/>
      <c r="AG295" s="15" t="s">
        <v>608</v>
      </c>
    </row>
    <row r="296" spans="1:33" ht="22.8" x14ac:dyDescent="0.3">
      <c r="A296" s="30">
        <v>4040</v>
      </c>
      <c r="B296" s="9"/>
      <c r="C296" s="36"/>
      <c r="D296" s="9"/>
      <c r="E296" s="9" t="s">
        <v>1027</v>
      </c>
      <c r="F296" s="30" t="s">
        <v>315</v>
      </c>
      <c r="G296" s="31" t="s">
        <v>316</v>
      </c>
      <c r="H296" s="31" t="s">
        <v>316</v>
      </c>
      <c r="I296" s="31" t="s">
        <v>317</v>
      </c>
      <c r="J296" s="31" t="s">
        <v>316</v>
      </c>
      <c r="K296" s="31" t="s">
        <v>316</v>
      </c>
      <c r="L296" s="32" t="str">
        <f t="shared" si="20"/>
        <v>EXCLUDE</v>
      </c>
      <c r="M296" s="32" t="str">
        <f t="shared" si="21"/>
        <v>No Design for Safety/Quality/PtD</v>
      </c>
      <c r="N296" s="33"/>
      <c r="O296" s="33"/>
      <c r="P296" s="34"/>
      <c r="Q296" s="34"/>
      <c r="R296" s="34"/>
      <c r="S296" s="32" t="str">
        <f t="shared" si="22"/>
        <v/>
      </c>
      <c r="T296" s="32" t="str">
        <f t="shared" si="23"/>
        <v/>
      </c>
      <c r="U296" s="35"/>
      <c r="V296" s="35"/>
      <c r="W296" s="35"/>
      <c r="X296" s="35"/>
      <c r="Y296" s="32" t="str">
        <f t="shared" si="24"/>
        <v/>
      </c>
      <c r="Z296" s="35"/>
      <c r="AA296" s="35"/>
      <c r="AB296" s="35"/>
      <c r="AC296" s="35"/>
      <c r="AD296" s="35"/>
      <c r="AE296" s="35"/>
      <c r="AF296" s="35"/>
      <c r="AG296" s="15" t="s">
        <v>609</v>
      </c>
    </row>
    <row r="297" spans="1:33" ht="22.8" x14ac:dyDescent="0.3">
      <c r="A297" s="30">
        <v>3880</v>
      </c>
      <c r="B297" s="9"/>
      <c r="C297" s="36"/>
      <c r="D297" s="9"/>
      <c r="E297" s="9" t="s">
        <v>1028</v>
      </c>
      <c r="F297" s="30" t="s">
        <v>315</v>
      </c>
      <c r="G297" s="31" t="s">
        <v>316</v>
      </c>
      <c r="H297" s="31" t="s">
        <v>317</v>
      </c>
      <c r="I297" s="31" t="s">
        <v>317</v>
      </c>
      <c r="J297" s="31" t="s">
        <v>316</v>
      </c>
      <c r="K297" s="31" t="s">
        <v>316</v>
      </c>
      <c r="L297" s="32" t="str">
        <f t="shared" si="20"/>
        <v>EXCLUDE</v>
      </c>
      <c r="M297" s="32" t="str">
        <f t="shared" si="21"/>
        <v>Digital Twin not core / buzzword</v>
      </c>
      <c r="N297" s="33"/>
      <c r="O297" s="33"/>
      <c r="P297" s="34"/>
      <c r="Q297" s="34"/>
      <c r="R297" s="34"/>
      <c r="S297" s="32" t="str">
        <f t="shared" si="22"/>
        <v/>
      </c>
      <c r="T297" s="32" t="str">
        <f t="shared" si="23"/>
        <v/>
      </c>
      <c r="U297" s="35"/>
      <c r="V297" s="35"/>
      <c r="W297" s="35"/>
      <c r="X297" s="35"/>
      <c r="Y297" s="32" t="str">
        <f t="shared" si="24"/>
        <v/>
      </c>
      <c r="Z297" s="35"/>
      <c r="AA297" s="35"/>
      <c r="AB297" s="35"/>
      <c r="AC297" s="35"/>
      <c r="AD297" s="35"/>
      <c r="AE297" s="35"/>
      <c r="AF297" s="35"/>
      <c r="AG297" s="15" t="s">
        <v>610</v>
      </c>
    </row>
    <row r="298" spans="1:33" ht="22.8" x14ac:dyDescent="0.3">
      <c r="A298" s="30">
        <v>3633</v>
      </c>
      <c r="B298" s="9" t="s">
        <v>259</v>
      </c>
      <c r="C298" s="36">
        <v>2022</v>
      </c>
      <c r="D298" s="9"/>
      <c r="E298" s="9" t="s">
        <v>1029</v>
      </c>
      <c r="F298" s="30" t="s">
        <v>314</v>
      </c>
      <c r="G298" s="31" t="s">
        <v>316</v>
      </c>
      <c r="H298" s="31" t="s">
        <v>316</v>
      </c>
      <c r="I298" s="31" t="s">
        <v>316</v>
      </c>
      <c r="J298" s="31" t="s">
        <v>316</v>
      </c>
      <c r="K298" s="31" t="s">
        <v>316</v>
      </c>
      <c r="L298" s="32" t="str">
        <f t="shared" si="20"/>
        <v>INCLUDE</v>
      </c>
      <c r="M298" s="32" t="str">
        <f t="shared" si="21"/>
        <v/>
      </c>
      <c r="N298" s="33" t="s">
        <v>58</v>
      </c>
      <c r="O298" s="33" t="s">
        <v>58</v>
      </c>
      <c r="P298" s="34"/>
      <c r="Q298" s="34"/>
      <c r="R298" s="34"/>
      <c r="S298" s="32" t="str">
        <f t="shared" si="22"/>
        <v/>
      </c>
      <c r="T298" s="32" t="str">
        <f t="shared" si="23"/>
        <v/>
      </c>
      <c r="U298" s="35"/>
      <c r="V298" s="35"/>
      <c r="W298" s="35"/>
      <c r="X298" s="35"/>
      <c r="Y298" s="32" t="str">
        <f t="shared" si="24"/>
        <v/>
      </c>
      <c r="Z298" s="35"/>
      <c r="AA298" s="35"/>
      <c r="AB298" s="35"/>
      <c r="AC298" s="35"/>
      <c r="AD298" s="35"/>
      <c r="AE298" s="35"/>
      <c r="AF298" s="35"/>
      <c r="AG298" s="15" t="s">
        <v>611</v>
      </c>
    </row>
    <row r="299" spans="1:33" ht="22.8" x14ac:dyDescent="0.3">
      <c r="A299" s="30">
        <v>3907</v>
      </c>
      <c r="B299" s="9" t="s">
        <v>260</v>
      </c>
      <c r="C299" s="36">
        <v>2025</v>
      </c>
      <c r="D299" s="9"/>
      <c r="E299" s="9" t="s">
        <v>1030</v>
      </c>
      <c r="F299" s="30" t="s">
        <v>315</v>
      </c>
      <c r="G299" s="31" t="s">
        <v>316</v>
      </c>
      <c r="H299" s="31" t="s">
        <v>316</v>
      </c>
      <c r="I299" s="31" t="s">
        <v>316</v>
      </c>
      <c r="J299" s="31" t="s">
        <v>316</v>
      </c>
      <c r="K299" s="31" t="s">
        <v>316</v>
      </c>
      <c r="L299" s="32" t="str">
        <f t="shared" si="20"/>
        <v>INCLUDE</v>
      </c>
      <c r="M299" s="32" t="str">
        <f t="shared" si="21"/>
        <v/>
      </c>
      <c r="N299" s="33" t="s">
        <v>58</v>
      </c>
      <c r="O299" s="33" t="s">
        <v>58</v>
      </c>
      <c r="P299" s="34"/>
      <c r="Q299" s="34"/>
      <c r="R299" s="34"/>
      <c r="S299" s="32" t="str">
        <f t="shared" si="22"/>
        <v/>
      </c>
      <c r="T299" s="32" t="str">
        <f t="shared" si="23"/>
        <v/>
      </c>
      <c r="U299" s="35"/>
      <c r="V299" s="35"/>
      <c r="W299" s="35"/>
      <c r="X299" s="35"/>
      <c r="Y299" s="32" t="str">
        <f t="shared" si="24"/>
        <v/>
      </c>
      <c r="Z299" s="35"/>
      <c r="AA299" s="35"/>
      <c r="AB299" s="35"/>
      <c r="AC299" s="35"/>
      <c r="AD299" s="35"/>
      <c r="AE299" s="35"/>
      <c r="AF299" s="35"/>
      <c r="AG299" s="15" t="s">
        <v>612</v>
      </c>
    </row>
    <row r="300" spans="1:33" ht="91.2" x14ac:dyDescent="0.3">
      <c r="A300" s="30">
        <v>3823</v>
      </c>
      <c r="B300" s="9" t="s">
        <v>261</v>
      </c>
      <c r="C300" s="36">
        <v>2026</v>
      </c>
      <c r="D300" s="9"/>
      <c r="E300" s="9" t="s">
        <v>1031</v>
      </c>
      <c r="F300" s="30" t="s">
        <v>314</v>
      </c>
      <c r="G300" s="31" t="s">
        <v>316</v>
      </c>
      <c r="H300" s="31" t="s">
        <v>316</v>
      </c>
      <c r="I300" s="31" t="s">
        <v>316</v>
      </c>
      <c r="J300" s="31" t="s">
        <v>316</v>
      </c>
      <c r="K300" s="31" t="s">
        <v>316</v>
      </c>
      <c r="L300" s="32" t="str">
        <f t="shared" si="20"/>
        <v>INCLUDE</v>
      </c>
      <c r="M300" s="32" t="str">
        <f t="shared" si="21"/>
        <v/>
      </c>
      <c r="N300" s="33" t="s">
        <v>49</v>
      </c>
      <c r="O300" s="33" t="s">
        <v>49</v>
      </c>
      <c r="P300" s="34" t="s">
        <v>49</v>
      </c>
      <c r="Q300" s="34" t="s">
        <v>49</v>
      </c>
      <c r="R300" s="34" t="s">
        <v>49</v>
      </c>
      <c r="S300" s="32" t="str">
        <f t="shared" si="22"/>
        <v>INCLUDE</v>
      </c>
      <c r="T300" s="32" t="str">
        <f t="shared" si="23"/>
        <v/>
      </c>
      <c r="U300" s="35" t="s">
        <v>61</v>
      </c>
      <c r="V300" s="35">
        <v>0</v>
      </c>
      <c r="W300" s="35">
        <v>0</v>
      </c>
      <c r="X300" s="35">
        <v>1</v>
      </c>
      <c r="Y300" s="32" t="str">
        <f t="shared" si="24"/>
        <v>Single</v>
      </c>
      <c r="Z300" s="35" t="s">
        <v>9</v>
      </c>
      <c r="AA300" s="35" t="s">
        <v>53</v>
      </c>
      <c r="AB300" s="35" t="s">
        <v>63</v>
      </c>
      <c r="AC300" s="35" t="s">
        <v>64</v>
      </c>
      <c r="AD300" s="35" t="s">
        <v>72</v>
      </c>
      <c r="AE300" s="35">
        <v>4</v>
      </c>
      <c r="AF300" s="35" t="s">
        <v>84</v>
      </c>
      <c r="AG300" s="15" t="s">
        <v>613</v>
      </c>
    </row>
    <row r="301" spans="1:33" ht="22.8" x14ac:dyDescent="0.3">
      <c r="A301" s="30">
        <v>3964</v>
      </c>
      <c r="B301" s="9" t="s">
        <v>262</v>
      </c>
      <c r="C301" s="36">
        <v>2026</v>
      </c>
      <c r="D301" s="9"/>
      <c r="E301" s="9" t="s">
        <v>1032</v>
      </c>
      <c r="F301" s="30" t="s">
        <v>315</v>
      </c>
      <c r="G301" s="31" t="s">
        <v>316</v>
      </c>
      <c r="H301" s="31" t="s">
        <v>316</v>
      </c>
      <c r="I301" s="31" t="s">
        <v>316</v>
      </c>
      <c r="J301" s="31" t="s">
        <v>316</v>
      </c>
      <c r="K301" s="31" t="s">
        <v>316</v>
      </c>
      <c r="L301" s="32" t="str">
        <f t="shared" si="20"/>
        <v>INCLUDE</v>
      </c>
      <c r="M301" s="32" t="str">
        <f t="shared" si="21"/>
        <v/>
      </c>
      <c r="N301" s="33" t="s">
        <v>58</v>
      </c>
      <c r="O301" s="33" t="s">
        <v>58</v>
      </c>
      <c r="P301" s="34"/>
      <c r="Q301" s="34"/>
      <c r="R301" s="34"/>
      <c r="S301" s="32" t="str">
        <f t="shared" si="22"/>
        <v/>
      </c>
      <c r="T301" s="32" t="str">
        <f t="shared" si="23"/>
        <v/>
      </c>
      <c r="U301" s="35"/>
      <c r="V301" s="35"/>
      <c r="W301" s="35"/>
      <c r="X301" s="35"/>
      <c r="Y301" s="32" t="str">
        <f t="shared" si="24"/>
        <v/>
      </c>
      <c r="Z301" s="35"/>
      <c r="AA301" s="35"/>
      <c r="AB301" s="35"/>
      <c r="AC301" s="35"/>
      <c r="AD301" s="35"/>
      <c r="AE301" s="35"/>
      <c r="AF301" s="35"/>
      <c r="AG301" s="15" t="s">
        <v>614</v>
      </c>
    </row>
    <row r="302" spans="1:33" ht="22.8" x14ac:dyDescent="0.3">
      <c r="A302" s="30">
        <v>3569</v>
      </c>
      <c r="B302" s="9"/>
      <c r="C302" s="36"/>
      <c r="D302" s="9"/>
      <c r="E302" s="9" t="s">
        <v>1033</v>
      </c>
      <c r="F302" s="30" t="s">
        <v>314</v>
      </c>
      <c r="G302" s="31" t="s">
        <v>316</v>
      </c>
      <c r="H302" s="31" t="s">
        <v>317</v>
      </c>
      <c r="I302" s="31" t="s">
        <v>316</v>
      </c>
      <c r="J302" s="31" t="s">
        <v>316</v>
      </c>
      <c r="K302" s="31" t="s">
        <v>317</v>
      </c>
      <c r="L302" s="32" t="str">
        <f t="shared" si="20"/>
        <v>EXCLUDE</v>
      </c>
      <c r="M302" s="32" t="str">
        <f t="shared" si="21"/>
        <v>Digital Twin not core / buzzword</v>
      </c>
      <c r="N302" s="33"/>
      <c r="O302" s="33"/>
      <c r="P302" s="34"/>
      <c r="Q302" s="34"/>
      <c r="R302" s="34"/>
      <c r="S302" s="32" t="str">
        <f t="shared" si="22"/>
        <v/>
      </c>
      <c r="T302" s="32" t="str">
        <f t="shared" si="23"/>
        <v/>
      </c>
      <c r="U302" s="35"/>
      <c r="V302" s="35"/>
      <c r="W302" s="35"/>
      <c r="X302" s="35"/>
      <c r="Y302" s="32" t="str">
        <f t="shared" si="24"/>
        <v/>
      </c>
      <c r="Z302" s="35"/>
      <c r="AA302" s="35"/>
      <c r="AB302" s="35"/>
      <c r="AC302" s="35"/>
      <c r="AD302" s="35"/>
      <c r="AE302" s="35"/>
      <c r="AF302" s="35"/>
      <c r="AG302" s="15" t="s">
        <v>615</v>
      </c>
    </row>
    <row r="303" spans="1:33" ht="114" x14ac:dyDescent="0.3">
      <c r="A303" s="30">
        <v>3966</v>
      </c>
      <c r="B303" s="9" t="s">
        <v>263</v>
      </c>
      <c r="C303" s="36">
        <v>2026</v>
      </c>
      <c r="D303" s="9"/>
      <c r="E303" s="9" t="s">
        <v>1034</v>
      </c>
      <c r="F303" s="30" t="s">
        <v>315</v>
      </c>
      <c r="G303" s="31" t="s">
        <v>316</v>
      </c>
      <c r="H303" s="31" t="s">
        <v>316</v>
      </c>
      <c r="I303" s="31" t="s">
        <v>316</v>
      </c>
      <c r="J303" s="31" t="s">
        <v>316</v>
      </c>
      <c r="K303" s="31" t="s">
        <v>316</v>
      </c>
      <c r="L303" s="32" t="str">
        <f t="shared" si="20"/>
        <v>INCLUDE</v>
      </c>
      <c r="M303" s="32" t="str">
        <f t="shared" si="21"/>
        <v/>
      </c>
      <c r="N303" s="33" t="s">
        <v>49</v>
      </c>
      <c r="O303" s="33" t="s">
        <v>49</v>
      </c>
      <c r="P303" s="34" t="s">
        <v>49</v>
      </c>
      <c r="Q303" s="34" t="s">
        <v>49</v>
      </c>
      <c r="R303" s="34" t="s">
        <v>49</v>
      </c>
      <c r="S303" s="32" t="str">
        <f t="shared" si="22"/>
        <v>INCLUDE</v>
      </c>
      <c r="T303" s="32" t="str">
        <f t="shared" si="23"/>
        <v/>
      </c>
      <c r="U303" s="35" t="s">
        <v>61</v>
      </c>
      <c r="V303" s="35">
        <v>0</v>
      </c>
      <c r="W303" s="35">
        <v>0</v>
      </c>
      <c r="X303" s="35">
        <v>1</v>
      </c>
      <c r="Y303" s="32" t="str">
        <f t="shared" si="24"/>
        <v>Single</v>
      </c>
      <c r="Z303" s="35" t="s">
        <v>9</v>
      </c>
      <c r="AA303" s="35" t="s">
        <v>70</v>
      </c>
      <c r="AB303" s="35" t="s">
        <v>90</v>
      </c>
      <c r="AC303" s="35" t="s">
        <v>64</v>
      </c>
      <c r="AD303" s="35" t="s">
        <v>72</v>
      </c>
      <c r="AE303" s="35">
        <v>4</v>
      </c>
      <c r="AF303" s="35" t="s">
        <v>84</v>
      </c>
      <c r="AG303" s="15" t="s">
        <v>616</v>
      </c>
    </row>
    <row r="304" spans="1:33" ht="22.8" x14ac:dyDescent="0.3">
      <c r="A304" s="30">
        <v>3531</v>
      </c>
      <c r="B304" s="9"/>
      <c r="C304" s="36"/>
      <c r="D304" s="9"/>
      <c r="E304" s="9" t="s">
        <v>1035</v>
      </c>
      <c r="F304" s="30" t="s">
        <v>314</v>
      </c>
      <c r="G304" s="31" t="s">
        <v>316</v>
      </c>
      <c r="H304" s="31" t="s">
        <v>316</v>
      </c>
      <c r="I304" s="31" t="s">
        <v>316</v>
      </c>
      <c r="J304" s="31" t="s">
        <v>316</v>
      </c>
      <c r="K304" s="31" t="s">
        <v>317</v>
      </c>
      <c r="L304" s="32" t="str">
        <f t="shared" si="20"/>
        <v>EXCLUDE</v>
      </c>
      <c r="M304" s="32" t="str">
        <f t="shared" si="21"/>
        <v>Non-English</v>
      </c>
      <c r="N304" s="33"/>
      <c r="O304" s="33"/>
      <c r="P304" s="34"/>
      <c r="Q304" s="34"/>
      <c r="R304" s="34"/>
      <c r="S304" s="32" t="str">
        <f t="shared" si="22"/>
        <v/>
      </c>
      <c r="T304" s="32" t="str">
        <f t="shared" si="23"/>
        <v/>
      </c>
      <c r="U304" s="35"/>
      <c r="V304" s="35"/>
      <c r="W304" s="35"/>
      <c r="X304" s="35"/>
      <c r="Y304" s="32" t="str">
        <f t="shared" si="24"/>
        <v/>
      </c>
      <c r="Z304" s="35"/>
      <c r="AA304" s="35"/>
      <c r="AB304" s="35"/>
      <c r="AC304" s="35"/>
      <c r="AD304" s="35"/>
      <c r="AE304" s="35"/>
      <c r="AF304" s="35"/>
      <c r="AG304" s="15" t="s">
        <v>523</v>
      </c>
    </row>
    <row r="305" spans="1:33" ht="22.8" x14ac:dyDescent="0.3">
      <c r="A305" s="30">
        <v>3997</v>
      </c>
      <c r="B305" s="9"/>
      <c r="C305" s="36"/>
      <c r="D305" s="9"/>
      <c r="E305" s="9" t="s">
        <v>1036</v>
      </c>
      <c r="F305" s="30" t="s">
        <v>315</v>
      </c>
      <c r="G305" s="31" t="s">
        <v>316</v>
      </c>
      <c r="H305" s="31" t="s">
        <v>317</v>
      </c>
      <c r="I305" s="31" t="s">
        <v>316</v>
      </c>
      <c r="J305" s="31" t="s">
        <v>316</v>
      </c>
      <c r="K305" s="31" t="s">
        <v>316</v>
      </c>
      <c r="L305" s="32" t="str">
        <f t="shared" si="20"/>
        <v>EXCLUDE</v>
      </c>
      <c r="M305" s="32" t="str">
        <f t="shared" si="21"/>
        <v>Digital Twin not core / buzzword</v>
      </c>
      <c r="N305" s="33"/>
      <c r="O305" s="33"/>
      <c r="P305" s="34"/>
      <c r="Q305" s="34"/>
      <c r="R305" s="34"/>
      <c r="S305" s="32" t="str">
        <f t="shared" si="22"/>
        <v/>
      </c>
      <c r="T305" s="32" t="str">
        <f t="shared" si="23"/>
        <v/>
      </c>
      <c r="U305" s="35"/>
      <c r="V305" s="35"/>
      <c r="W305" s="35"/>
      <c r="X305" s="35"/>
      <c r="Y305" s="32" t="str">
        <f t="shared" si="24"/>
        <v/>
      </c>
      <c r="Z305" s="35"/>
      <c r="AA305" s="35"/>
      <c r="AB305" s="35"/>
      <c r="AC305" s="35"/>
      <c r="AD305" s="35"/>
      <c r="AE305" s="35"/>
      <c r="AF305" s="35"/>
      <c r="AG305" s="15" t="s">
        <v>617</v>
      </c>
    </row>
    <row r="306" spans="1:33" ht="22.8" x14ac:dyDescent="0.3">
      <c r="A306" s="30">
        <v>4033</v>
      </c>
      <c r="B306" s="9"/>
      <c r="C306" s="36"/>
      <c r="D306" s="9"/>
      <c r="E306" s="9" t="s">
        <v>1037</v>
      </c>
      <c r="F306" s="30" t="s">
        <v>315</v>
      </c>
      <c r="G306" s="31" t="s">
        <v>316</v>
      </c>
      <c r="H306" s="31" t="s">
        <v>317</v>
      </c>
      <c r="I306" s="31" t="s">
        <v>316</v>
      </c>
      <c r="J306" s="31" t="s">
        <v>316</v>
      </c>
      <c r="K306" s="31" t="s">
        <v>316</v>
      </c>
      <c r="L306" s="32" t="str">
        <f t="shared" si="20"/>
        <v>EXCLUDE</v>
      </c>
      <c r="M306" s="32" t="str">
        <f t="shared" si="21"/>
        <v>Digital Twin not core / buzzword</v>
      </c>
      <c r="N306" s="33"/>
      <c r="O306" s="33"/>
      <c r="P306" s="34"/>
      <c r="Q306" s="34"/>
      <c r="R306" s="34"/>
      <c r="S306" s="32" t="str">
        <f t="shared" si="22"/>
        <v/>
      </c>
      <c r="T306" s="32" t="str">
        <f t="shared" si="23"/>
        <v/>
      </c>
      <c r="U306" s="35"/>
      <c r="V306" s="35"/>
      <c r="W306" s="35"/>
      <c r="X306" s="35"/>
      <c r="Y306" s="32" t="str">
        <f t="shared" si="24"/>
        <v/>
      </c>
      <c r="Z306" s="35"/>
      <c r="AA306" s="35"/>
      <c r="AB306" s="35"/>
      <c r="AC306" s="35"/>
      <c r="AD306" s="35"/>
      <c r="AE306" s="35"/>
      <c r="AF306" s="35"/>
      <c r="AG306" s="15" t="s">
        <v>618</v>
      </c>
    </row>
    <row r="307" spans="1:33" ht="22.8" x14ac:dyDescent="0.3">
      <c r="A307" s="30">
        <v>4034</v>
      </c>
      <c r="B307" s="9"/>
      <c r="C307" s="36"/>
      <c r="D307" s="9"/>
      <c r="E307" s="9" t="s">
        <v>1038</v>
      </c>
      <c r="F307" s="30" t="s">
        <v>315</v>
      </c>
      <c r="G307" s="31" t="s">
        <v>316</v>
      </c>
      <c r="H307" s="31" t="s">
        <v>317</v>
      </c>
      <c r="I307" s="31" t="s">
        <v>316</v>
      </c>
      <c r="J307" s="31" t="s">
        <v>316</v>
      </c>
      <c r="K307" s="31" t="s">
        <v>316</v>
      </c>
      <c r="L307" s="32" t="str">
        <f t="shared" si="20"/>
        <v>EXCLUDE</v>
      </c>
      <c r="M307" s="32" t="str">
        <f t="shared" si="21"/>
        <v>Digital Twin not core / buzzword</v>
      </c>
      <c r="N307" s="33"/>
      <c r="O307" s="33"/>
      <c r="P307" s="34"/>
      <c r="Q307" s="34"/>
      <c r="R307" s="34"/>
      <c r="S307" s="32" t="str">
        <f t="shared" si="22"/>
        <v/>
      </c>
      <c r="T307" s="32" t="str">
        <f t="shared" si="23"/>
        <v/>
      </c>
      <c r="U307" s="35"/>
      <c r="V307" s="35"/>
      <c r="W307" s="35"/>
      <c r="X307" s="35"/>
      <c r="Y307" s="32" t="str">
        <f t="shared" si="24"/>
        <v/>
      </c>
      <c r="Z307" s="35"/>
      <c r="AA307" s="35"/>
      <c r="AB307" s="35"/>
      <c r="AC307" s="35"/>
      <c r="AD307" s="35"/>
      <c r="AE307" s="35"/>
      <c r="AF307" s="35"/>
      <c r="AG307" s="15" t="s">
        <v>619</v>
      </c>
    </row>
    <row r="308" spans="1:33" ht="22.8" x14ac:dyDescent="0.3">
      <c r="A308" s="30">
        <v>3594</v>
      </c>
      <c r="B308" s="9"/>
      <c r="C308" s="36"/>
      <c r="D308" s="9"/>
      <c r="E308" s="9" t="s">
        <v>1039</v>
      </c>
      <c r="F308" s="30" t="s">
        <v>314</v>
      </c>
      <c r="G308" s="31" t="s">
        <v>317</v>
      </c>
      <c r="H308" s="31" t="s">
        <v>316</v>
      </c>
      <c r="I308" s="31" t="s">
        <v>316</v>
      </c>
      <c r="J308" s="31" t="s">
        <v>316</v>
      </c>
      <c r="K308" s="31" t="s">
        <v>316</v>
      </c>
      <c r="L308" s="32" t="str">
        <f t="shared" si="20"/>
        <v>EXCLUDE</v>
      </c>
      <c r="M308" s="32" t="str">
        <f t="shared" si="21"/>
        <v>Wrong domain (non-AECO)</v>
      </c>
      <c r="N308" s="33"/>
      <c r="O308" s="33"/>
      <c r="P308" s="34"/>
      <c r="Q308" s="34"/>
      <c r="R308" s="34"/>
      <c r="S308" s="32" t="str">
        <f t="shared" si="22"/>
        <v/>
      </c>
      <c r="T308" s="32" t="str">
        <f t="shared" si="23"/>
        <v/>
      </c>
      <c r="U308" s="35"/>
      <c r="V308" s="35"/>
      <c r="W308" s="35"/>
      <c r="X308" s="35"/>
      <c r="Y308" s="32" t="str">
        <f t="shared" si="24"/>
        <v/>
      </c>
      <c r="Z308" s="35"/>
      <c r="AA308" s="35"/>
      <c r="AB308" s="35"/>
      <c r="AC308" s="35"/>
      <c r="AD308" s="35"/>
      <c r="AE308" s="35"/>
      <c r="AF308" s="35"/>
      <c r="AG308" s="15" t="s">
        <v>620</v>
      </c>
    </row>
    <row r="309" spans="1:33" ht="22.8" x14ac:dyDescent="0.3">
      <c r="A309" s="30">
        <v>3932</v>
      </c>
      <c r="B309" s="9" t="s">
        <v>264</v>
      </c>
      <c r="C309" s="36">
        <v>2026</v>
      </c>
      <c r="D309" s="9"/>
      <c r="E309" s="9" t="s">
        <v>1040</v>
      </c>
      <c r="F309" s="30" t="s">
        <v>315</v>
      </c>
      <c r="G309" s="31" t="s">
        <v>316</v>
      </c>
      <c r="H309" s="31" t="s">
        <v>316</v>
      </c>
      <c r="I309" s="31" t="s">
        <v>316</v>
      </c>
      <c r="J309" s="31" t="s">
        <v>316</v>
      </c>
      <c r="K309" s="31" t="s">
        <v>316</v>
      </c>
      <c r="L309" s="32" t="str">
        <f t="shared" si="20"/>
        <v>INCLUDE</v>
      </c>
      <c r="M309" s="32" t="str">
        <f t="shared" si="21"/>
        <v/>
      </c>
      <c r="N309" s="33" t="s">
        <v>58</v>
      </c>
      <c r="O309" s="33" t="s">
        <v>58</v>
      </c>
      <c r="P309" s="34"/>
      <c r="Q309" s="34"/>
      <c r="R309" s="34"/>
      <c r="S309" s="32" t="str">
        <f t="shared" si="22"/>
        <v/>
      </c>
      <c r="T309" s="32" t="str">
        <f t="shared" si="23"/>
        <v/>
      </c>
      <c r="U309" s="35"/>
      <c r="V309" s="35"/>
      <c r="W309" s="35"/>
      <c r="X309" s="35"/>
      <c r="Y309" s="32" t="str">
        <f t="shared" si="24"/>
        <v/>
      </c>
      <c r="Z309" s="35"/>
      <c r="AA309" s="35"/>
      <c r="AB309" s="35"/>
      <c r="AC309" s="35"/>
      <c r="AD309" s="35"/>
      <c r="AE309" s="35"/>
      <c r="AF309" s="35"/>
      <c r="AG309" s="15" t="s">
        <v>621</v>
      </c>
    </row>
    <row r="310" spans="1:33" ht="91.2" x14ac:dyDescent="0.3">
      <c r="A310" s="30">
        <v>3833</v>
      </c>
      <c r="B310" s="9" t="s">
        <v>265</v>
      </c>
      <c r="C310" s="36">
        <v>2023</v>
      </c>
      <c r="D310" s="9"/>
      <c r="E310" s="9" t="s">
        <v>1041</v>
      </c>
      <c r="F310" s="30" t="s">
        <v>314</v>
      </c>
      <c r="G310" s="31" t="s">
        <v>316</v>
      </c>
      <c r="H310" s="31" t="s">
        <v>316</v>
      </c>
      <c r="I310" s="31" t="s">
        <v>316</v>
      </c>
      <c r="J310" s="31" t="s">
        <v>316</v>
      </c>
      <c r="K310" s="31" t="s">
        <v>316</v>
      </c>
      <c r="L310" s="32" t="str">
        <f t="shared" si="20"/>
        <v>INCLUDE</v>
      </c>
      <c r="M310" s="32" t="str">
        <f t="shared" si="21"/>
        <v/>
      </c>
      <c r="N310" s="33" t="s">
        <v>49</v>
      </c>
      <c r="O310" s="33" t="s">
        <v>49</v>
      </c>
      <c r="P310" s="34" t="s">
        <v>49</v>
      </c>
      <c r="Q310" s="34" t="s">
        <v>49</v>
      </c>
      <c r="R310" s="34" t="s">
        <v>49</v>
      </c>
      <c r="S310" s="32" t="str">
        <f t="shared" si="22"/>
        <v>INCLUDE</v>
      </c>
      <c r="T310" s="32" t="str">
        <f t="shared" si="23"/>
        <v/>
      </c>
      <c r="U310" s="35" t="s">
        <v>52</v>
      </c>
      <c r="V310" s="35">
        <v>0</v>
      </c>
      <c r="W310" s="35">
        <v>1</v>
      </c>
      <c r="X310" s="35">
        <v>0</v>
      </c>
      <c r="Y310" s="32" t="str">
        <f t="shared" si="24"/>
        <v>Single</v>
      </c>
      <c r="Z310" s="35" t="s">
        <v>9</v>
      </c>
      <c r="AA310" s="35" t="s">
        <v>53</v>
      </c>
      <c r="AB310" s="35" t="s">
        <v>92</v>
      </c>
      <c r="AC310" s="35" t="s">
        <v>55</v>
      </c>
      <c r="AD310" s="35" t="s">
        <v>65</v>
      </c>
      <c r="AE310" s="35">
        <v>4</v>
      </c>
      <c r="AF310" s="35" t="s">
        <v>84</v>
      </c>
      <c r="AG310" s="15" t="s">
        <v>622</v>
      </c>
    </row>
    <row r="311" spans="1:33" ht="22.8" x14ac:dyDescent="0.3">
      <c r="A311" s="30">
        <v>4001</v>
      </c>
      <c r="B311" s="9"/>
      <c r="C311" s="36"/>
      <c r="D311" s="9"/>
      <c r="E311" s="9" t="s">
        <v>1042</v>
      </c>
      <c r="F311" s="30" t="s">
        <v>315</v>
      </c>
      <c r="G311" s="31" t="s">
        <v>316</v>
      </c>
      <c r="H311" s="31" t="s">
        <v>317</v>
      </c>
      <c r="I311" s="31" t="s">
        <v>316</v>
      </c>
      <c r="J311" s="31" t="s">
        <v>316</v>
      </c>
      <c r="K311" s="31" t="s">
        <v>316</v>
      </c>
      <c r="L311" s="32" t="str">
        <f t="shared" si="20"/>
        <v>EXCLUDE</v>
      </c>
      <c r="M311" s="32" t="str">
        <f t="shared" si="21"/>
        <v>Digital Twin not core / buzzword</v>
      </c>
      <c r="N311" s="33"/>
      <c r="O311" s="33"/>
      <c r="P311" s="34"/>
      <c r="Q311" s="34"/>
      <c r="R311" s="34"/>
      <c r="S311" s="32" t="str">
        <f t="shared" si="22"/>
        <v/>
      </c>
      <c r="T311" s="32" t="str">
        <f t="shared" si="23"/>
        <v/>
      </c>
      <c r="U311" s="35"/>
      <c r="V311" s="35"/>
      <c r="W311" s="35"/>
      <c r="X311" s="35"/>
      <c r="Y311" s="32" t="str">
        <f t="shared" si="24"/>
        <v/>
      </c>
      <c r="Z311" s="35"/>
      <c r="AA311" s="35"/>
      <c r="AB311" s="35"/>
      <c r="AC311" s="35"/>
      <c r="AD311" s="35"/>
      <c r="AE311" s="35"/>
      <c r="AF311" s="35"/>
      <c r="AG311" s="15" t="s">
        <v>623</v>
      </c>
    </row>
    <row r="312" spans="1:33" ht="22.8" x14ac:dyDescent="0.3">
      <c r="A312" s="30">
        <v>3568</v>
      </c>
      <c r="B312" s="9" t="s">
        <v>266</v>
      </c>
      <c r="C312" s="36">
        <v>2024</v>
      </c>
      <c r="D312" s="9"/>
      <c r="E312" s="9" t="s">
        <v>1043</v>
      </c>
      <c r="F312" s="30" t="s">
        <v>314</v>
      </c>
      <c r="G312" s="31" t="s">
        <v>316</v>
      </c>
      <c r="H312" s="31" t="s">
        <v>316</v>
      </c>
      <c r="I312" s="31" t="s">
        <v>316</v>
      </c>
      <c r="J312" s="31" t="s">
        <v>316</v>
      </c>
      <c r="K312" s="31" t="s">
        <v>316</v>
      </c>
      <c r="L312" s="32" t="str">
        <f t="shared" si="20"/>
        <v>INCLUDE</v>
      </c>
      <c r="M312" s="32" t="str">
        <f t="shared" si="21"/>
        <v/>
      </c>
      <c r="N312" s="33" t="s">
        <v>58</v>
      </c>
      <c r="O312" s="33" t="s">
        <v>58</v>
      </c>
      <c r="P312" s="34"/>
      <c r="Q312" s="34"/>
      <c r="R312" s="34"/>
      <c r="S312" s="32" t="str">
        <f t="shared" si="22"/>
        <v/>
      </c>
      <c r="T312" s="32" t="str">
        <f t="shared" si="23"/>
        <v/>
      </c>
      <c r="U312" s="35"/>
      <c r="V312" s="35"/>
      <c r="W312" s="35"/>
      <c r="X312" s="35"/>
      <c r="Y312" s="32" t="str">
        <f t="shared" si="24"/>
        <v/>
      </c>
      <c r="Z312" s="35"/>
      <c r="AA312" s="35"/>
      <c r="AB312" s="35"/>
      <c r="AC312" s="35"/>
      <c r="AD312" s="35"/>
      <c r="AE312" s="35"/>
      <c r="AF312" s="35"/>
      <c r="AG312" s="15" t="s">
        <v>624</v>
      </c>
    </row>
    <row r="313" spans="1:33" ht="22.8" x14ac:dyDescent="0.3">
      <c r="A313" s="30">
        <v>3540</v>
      </c>
      <c r="B313" s="9"/>
      <c r="C313" s="36"/>
      <c r="D313" s="9"/>
      <c r="E313" s="9" t="s">
        <v>1044</v>
      </c>
      <c r="F313" s="30" t="s">
        <v>314</v>
      </c>
      <c r="G313" s="31" t="s">
        <v>316</v>
      </c>
      <c r="H313" s="31" t="s">
        <v>317</v>
      </c>
      <c r="I313" s="31" t="s">
        <v>316</v>
      </c>
      <c r="J313" s="31" t="s">
        <v>316</v>
      </c>
      <c r="K313" s="31" t="s">
        <v>316</v>
      </c>
      <c r="L313" s="32" t="str">
        <f t="shared" si="20"/>
        <v>EXCLUDE</v>
      </c>
      <c r="M313" s="32" t="str">
        <f t="shared" si="21"/>
        <v>Digital Twin not core / buzzword</v>
      </c>
      <c r="N313" s="33"/>
      <c r="O313" s="33"/>
      <c r="P313" s="34"/>
      <c r="Q313" s="34"/>
      <c r="R313" s="34"/>
      <c r="S313" s="32" t="str">
        <f t="shared" si="22"/>
        <v/>
      </c>
      <c r="T313" s="32" t="str">
        <f t="shared" si="23"/>
        <v/>
      </c>
      <c r="U313" s="35"/>
      <c r="V313" s="35"/>
      <c r="W313" s="35"/>
      <c r="X313" s="35"/>
      <c r="Y313" s="32" t="str">
        <f t="shared" si="24"/>
        <v/>
      </c>
      <c r="Z313" s="35"/>
      <c r="AA313" s="35"/>
      <c r="AB313" s="35"/>
      <c r="AC313" s="35"/>
      <c r="AD313" s="35"/>
      <c r="AE313" s="35"/>
      <c r="AF313" s="35"/>
      <c r="AG313" s="15" t="s">
        <v>625</v>
      </c>
    </row>
    <row r="314" spans="1:33" ht="114" x14ac:dyDescent="0.3">
      <c r="A314" s="30">
        <v>3768</v>
      </c>
      <c r="B314" s="9" t="s">
        <v>267</v>
      </c>
      <c r="C314" s="36">
        <v>2025</v>
      </c>
      <c r="D314" s="9"/>
      <c r="E314" s="9" t="s">
        <v>1045</v>
      </c>
      <c r="F314" s="30" t="s">
        <v>314</v>
      </c>
      <c r="G314" s="31" t="s">
        <v>316</v>
      </c>
      <c r="H314" s="31" t="s">
        <v>316</v>
      </c>
      <c r="I314" s="31" t="s">
        <v>316</v>
      </c>
      <c r="J314" s="31" t="s">
        <v>316</v>
      </c>
      <c r="K314" s="31" t="s">
        <v>316</v>
      </c>
      <c r="L314" s="32" t="str">
        <f t="shared" si="20"/>
        <v>INCLUDE</v>
      </c>
      <c r="M314" s="32" t="str">
        <f t="shared" si="21"/>
        <v/>
      </c>
      <c r="N314" s="33" t="s">
        <v>49</v>
      </c>
      <c r="O314" s="33" t="s">
        <v>49</v>
      </c>
      <c r="P314" s="34" t="s">
        <v>49</v>
      </c>
      <c r="Q314" s="34" t="s">
        <v>49</v>
      </c>
      <c r="R314" s="34" t="s">
        <v>49</v>
      </c>
      <c r="S314" s="32" t="str">
        <f t="shared" si="22"/>
        <v>INCLUDE</v>
      </c>
      <c r="T314" s="32" t="str">
        <f t="shared" si="23"/>
        <v/>
      </c>
      <c r="U314" s="35" t="s">
        <v>61</v>
      </c>
      <c r="V314" s="35">
        <v>0</v>
      </c>
      <c r="W314" s="35">
        <v>0</v>
      </c>
      <c r="X314" s="35">
        <v>1</v>
      </c>
      <c r="Y314" s="32" t="str">
        <f t="shared" si="24"/>
        <v>Single</v>
      </c>
      <c r="Z314" s="35" t="s">
        <v>9</v>
      </c>
      <c r="AA314" s="35" t="s">
        <v>53</v>
      </c>
      <c r="AB314" s="35" t="s">
        <v>63</v>
      </c>
      <c r="AC314" s="35" t="s">
        <v>64</v>
      </c>
      <c r="AD314" s="35" t="s">
        <v>72</v>
      </c>
      <c r="AE314" s="35">
        <v>4</v>
      </c>
      <c r="AF314" s="35" t="s">
        <v>84</v>
      </c>
      <c r="AG314" s="15" t="s">
        <v>626</v>
      </c>
    </row>
    <row r="315" spans="1:33" ht="22.8" x14ac:dyDescent="0.3">
      <c r="A315" s="30">
        <v>3787</v>
      </c>
      <c r="B315" s="9"/>
      <c r="C315" s="36"/>
      <c r="D315" s="9"/>
      <c r="E315" s="9" t="s">
        <v>1046</v>
      </c>
      <c r="F315" s="30" t="s">
        <v>314</v>
      </c>
      <c r="G315" s="31" t="s">
        <v>316</v>
      </c>
      <c r="H315" s="31" t="s">
        <v>317</v>
      </c>
      <c r="I315" s="31" t="s">
        <v>316</v>
      </c>
      <c r="J315" s="31" t="s">
        <v>316</v>
      </c>
      <c r="K315" s="31" t="s">
        <v>316</v>
      </c>
      <c r="L315" s="32" t="str">
        <f t="shared" si="20"/>
        <v>EXCLUDE</v>
      </c>
      <c r="M315" s="32" t="str">
        <f t="shared" si="21"/>
        <v>Digital Twin not core / buzzword</v>
      </c>
      <c r="N315" s="33"/>
      <c r="O315" s="33"/>
      <c r="P315" s="34"/>
      <c r="Q315" s="34"/>
      <c r="R315" s="34"/>
      <c r="S315" s="32" t="str">
        <f t="shared" si="22"/>
        <v/>
      </c>
      <c r="T315" s="32" t="str">
        <f t="shared" si="23"/>
        <v/>
      </c>
      <c r="U315" s="35"/>
      <c r="V315" s="35"/>
      <c r="W315" s="35"/>
      <c r="X315" s="35"/>
      <c r="Y315" s="32" t="str">
        <f t="shared" si="24"/>
        <v/>
      </c>
      <c r="Z315" s="35"/>
      <c r="AA315" s="35"/>
      <c r="AB315" s="35"/>
      <c r="AC315" s="35"/>
      <c r="AD315" s="35"/>
      <c r="AE315" s="35"/>
      <c r="AF315" s="35"/>
      <c r="AG315" s="15" t="s">
        <v>627</v>
      </c>
    </row>
    <row r="316" spans="1:33" ht="91.2" x14ac:dyDescent="0.3">
      <c r="A316" s="30">
        <v>3919</v>
      </c>
      <c r="B316" s="9" t="s">
        <v>268</v>
      </c>
      <c r="C316" s="36">
        <v>2025</v>
      </c>
      <c r="D316" s="9"/>
      <c r="E316" s="9" t="s">
        <v>1047</v>
      </c>
      <c r="F316" s="30" t="s">
        <v>315</v>
      </c>
      <c r="G316" s="31" t="s">
        <v>316</v>
      </c>
      <c r="H316" s="31" t="s">
        <v>316</v>
      </c>
      <c r="I316" s="31" t="s">
        <v>316</v>
      </c>
      <c r="J316" s="31" t="s">
        <v>316</v>
      </c>
      <c r="K316" s="31" t="s">
        <v>316</v>
      </c>
      <c r="L316" s="32" t="str">
        <f t="shared" si="20"/>
        <v>INCLUDE</v>
      </c>
      <c r="M316" s="32" t="str">
        <f t="shared" si="21"/>
        <v/>
      </c>
      <c r="N316" s="33" t="s">
        <v>49</v>
      </c>
      <c r="O316" s="33" t="s">
        <v>49</v>
      </c>
      <c r="P316" s="34" t="s">
        <v>49</v>
      </c>
      <c r="Q316" s="34" t="s">
        <v>49</v>
      </c>
      <c r="R316" s="34" t="s">
        <v>49</v>
      </c>
      <c r="S316" s="32" t="str">
        <f t="shared" si="22"/>
        <v>INCLUDE</v>
      </c>
      <c r="T316" s="32" t="str">
        <f t="shared" si="23"/>
        <v/>
      </c>
      <c r="U316" s="35" t="s">
        <v>61</v>
      </c>
      <c r="V316" s="35">
        <v>0</v>
      </c>
      <c r="W316" s="35">
        <v>1</v>
      </c>
      <c r="X316" s="35">
        <v>0</v>
      </c>
      <c r="Y316" s="32" t="str">
        <f t="shared" si="24"/>
        <v>Single</v>
      </c>
      <c r="Z316" s="35" t="s">
        <v>9</v>
      </c>
      <c r="AA316" s="35" t="s">
        <v>53</v>
      </c>
      <c r="AB316" s="35" t="s">
        <v>88</v>
      </c>
      <c r="AC316" s="35" t="s">
        <v>64</v>
      </c>
      <c r="AD316" s="35" t="s">
        <v>72</v>
      </c>
      <c r="AE316" s="35">
        <v>4</v>
      </c>
      <c r="AF316" s="35" t="s">
        <v>80</v>
      </c>
      <c r="AG316" s="15" t="s">
        <v>628</v>
      </c>
    </row>
    <row r="317" spans="1:33" ht="22.8" x14ac:dyDescent="0.3">
      <c r="A317" s="30">
        <v>4041</v>
      </c>
      <c r="B317" s="9"/>
      <c r="C317" s="36"/>
      <c r="D317" s="9"/>
      <c r="E317" s="9" t="s">
        <v>1048</v>
      </c>
      <c r="F317" s="30" t="s">
        <v>315</v>
      </c>
      <c r="G317" s="31" t="s">
        <v>316</v>
      </c>
      <c r="H317" s="31" t="s">
        <v>317</v>
      </c>
      <c r="I317" s="31" t="s">
        <v>316</v>
      </c>
      <c r="J317" s="31" t="s">
        <v>316</v>
      </c>
      <c r="K317" s="31" t="s">
        <v>316</v>
      </c>
      <c r="L317" s="32" t="str">
        <f t="shared" si="20"/>
        <v>EXCLUDE</v>
      </c>
      <c r="M317" s="32" t="str">
        <f t="shared" si="21"/>
        <v>Digital Twin not core / buzzword</v>
      </c>
      <c r="N317" s="33"/>
      <c r="O317" s="33"/>
      <c r="P317" s="34"/>
      <c r="Q317" s="34"/>
      <c r="R317" s="34"/>
      <c r="S317" s="32" t="str">
        <f t="shared" si="22"/>
        <v/>
      </c>
      <c r="T317" s="32" t="str">
        <f t="shared" si="23"/>
        <v/>
      </c>
      <c r="U317" s="35"/>
      <c r="V317" s="35"/>
      <c r="W317" s="35"/>
      <c r="X317" s="35"/>
      <c r="Y317" s="32" t="str">
        <f t="shared" si="24"/>
        <v/>
      </c>
      <c r="Z317" s="35"/>
      <c r="AA317" s="35"/>
      <c r="AB317" s="35"/>
      <c r="AC317" s="35"/>
      <c r="AD317" s="35"/>
      <c r="AE317" s="35"/>
      <c r="AF317" s="35"/>
      <c r="AG317" s="15" t="s">
        <v>629</v>
      </c>
    </row>
    <row r="318" spans="1:33" ht="22.8" x14ac:dyDescent="0.3">
      <c r="A318" s="30">
        <v>3694</v>
      </c>
      <c r="B318" s="9"/>
      <c r="C318" s="36"/>
      <c r="D318" s="9"/>
      <c r="E318" s="9" t="s">
        <v>1049</v>
      </c>
      <c r="F318" s="30" t="s">
        <v>314</v>
      </c>
      <c r="G318" s="31" t="s">
        <v>316</v>
      </c>
      <c r="H318" s="31" t="s">
        <v>316</v>
      </c>
      <c r="I318" s="31" t="s">
        <v>316</v>
      </c>
      <c r="J318" s="31" t="s">
        <v>316</v>
      </c>
      <c r="K318" s="31" t="s">
        <v>317</v>
      </c>
      <c r="L318" s="32" t="str">
        <f t="shared" si="20"/>
        <v>EXCLUDE</v>
      </c>
      <c r="M318" s="32" t="str">
        <f t="shared" si="21"/>
        <v>Non-English</v>
      </c>
      <c r="N318" s="33"/>
      <c r="O318" s="33"/>
      <c r="P318" s="34"/>
      <c r="Q318" s="34"/>
      <c r="R318" s="34"/>
      <c r="S318" s="32" t="str">
        <f t="shared" si="22"/>
        <v/>
      </c>
      <c r="T318" s="32" t="str">
        <f t="shared" si="23"/>
        <v/>
      </c>
      <c r="U318" s="35"/>
      <c r="V318" s="35"/>
      <c r="W318" s="35"/>
      <c r="X318" s="35"/>
      <c r="Y318" s="32" t="str">
        <f t="shared" si="24"/>
        <v/>
      </c>
      <c r="Z318" s="35"/>
      <c r="AA318" s="35"/>
      <c r="AB318" s="35"/>
      <c r="AC318" s="35"/>
      <c r="AD318" s="35"/>
      <c r="AE318" s="35"/>
      <c r="AF318" s="35"/>
      <c r="AG318" s="15" t="s">
        <v>630</v>
      </c>
    </row>
    <row r="319" spans="1:33" ht="22.8" x14ac:dyDescent="0.3">
      <c r="A319" s="30">
        <v>3941</v>
      </c>
      <c r="B319" s="9" t="s">
        <v>269</v>
      </c>
      <c r="C319" s="36">
        <v>2025</v>
      </c>
      <c r="D319" s="9"/>
      <c r="E319" s="9" t="s">
        <v>1050</v>
      </c>
      <c r="F319" s="30" t="s">
        <v>315</v>
      </c>
      <c r="G319" s="31" t="s">
        <v>316</v>
      </c>
      <c r="H319" s="31" t="s">
        <v>316</v>
      </c>
      <c r="I319" s="31" t="s">
        <v>316</v>
      </c>
      <c r="J319" s="31" t="s">
        <v>316</v>
      </c>
      <c r="K319" s="31" t="s">
        <v>316</v>
      </c>
      <c r="L319" s="32" t="str">
        <f t="shared" si="20"/>
        <v>INCLUDE</v>
      </c>
      <c r="M319" s="32" t="str">
        <f t="shared" si="21"/>
        <v/>
      </c>
      <c r="N319" s="33" t="s">
        <v>58</v>
      </c>
      <c r="O319" s="33" t="s">
        <v>58</v>
      </c>
      <c r="P319" s="34"/>
      <c r="Q319" s="34"/>
      <c r="R319" s="34"/>
      <c r="S319" s="32" t="str">
        <f t="shared" si="22"/>
        <v/>
      </c>
      <c r="T319" s="32" t="str">
        <f t="shared" si="23"/>
        <v/>
      </c>
      <c r="U319" s="35"/>
      <c r="V319" s="35"/>
      <c r="W319" s="35"/>
      <c r="X319" s="35"/>
      <c r="Y319" s="32" t="str">
        <f t="shared" si="24"/>
        <v/>
      </c>
      <c r="Z319" s="35"/>
      <c r="AA319" s="35"/>
      <c r="AB319" s="35"/>
      <c r="AC319" s="35"/>
      <c r="AD319" s="35"/>
      <c r="AE319" s="35"/>
      <c r="AF319" s="35"/>
      <c r="AG319" s="15" t="s">
        <v>631</v>
      </c>
    </row>
    <row r="320" spans="1:33" ht="22.8" x14ac:dyDescent="0.3">
      <c r="A320" s="30">
        <v>3648</v>
      </c>
      <c r="B320" s="9"/>
      <c r="C320" s="36"/>
      <c r="D320" s="9"/>
      <c r="E320" s="9" t="s">
        <v>1051</v>
      </c>
      <c r="F320" s="30" t="s">
        <v>314</v>
      </c>
      <c r="G320" s="31" t="s">
        <v>317</v>
      </c>
      <c r="H320" s="31" t="s">
        <v>316</v>
      </c>
      <c r="I320" s="31" t="s">
        <v>316</v>
      </c>
      <c r="J320" s="31" t="s">
        <v>316</v>
      </c>
      <c r="K320" s="31" t="s">
        <v>316</v>
      </c>
      <c r="L320" s="32" t="str">
        <f t="shared" si="20"/>
        <v>EXCLUDE</v>
      </c>
      <c r="M320" s="32" t="str">
        <f t="shared" si="21"/>
        <v>Wrong domain (non-AECO)</v>
      </c>
      <c r="N320" s="33"/>
      <c r="O320" s="33"/>
      <c r="P320" s="34"/>
      <c r="Q320" s="34"/>
      <c r="R320" s="34"/>
      <c r="S320" s="32" t="str">
        <f t="shared" si="22"/>
        <v/>
      </c>
      <c r="T320" s="32" t="str">
        <f t="shared" si="23"/>
        <v/>
      </c>
      <c r="U320" s="35"/>
      <c r="V320" s="35"/>
      <c r="W320" s="35"/>
      <c r="X320" s="35"/>
      <c r="Y320" s="32" t="str">
        <f t="shared" si="24"/>
        <v/>
      </c>
      <c r="Z320" s="35"/>
      <c r="AA320" s="35"/>
      <c r="AB320" s="35"/>
      <c r="AC320" s="35"/>
      <c r="AD320" s="35"/>
      <c r="AE320" s="35"/>
      <c r="AF320" s="35"/>
      <c r="AG320" s="15" t="s">
        <v>632</v>
      </c>
    </row>
    <row r="321" spans="1:33" ht="22.8" x14ac:dyDescent="0.3">
      <c r="A321" s="30">
        <v>3994</v>
      </c>
      <c r="B321" s="9" t="s">
        <v>270</v>
      </c>
      <c r="C321" s="36">
        <v>2023</v>
      </c>
      <c r="D321" s="9"/>
      <c r="E321" s="9" t="s">
        <v>1052</v>
      </c>
      <c r="F321" s="30" t="s">
        <v>315</v>
      </c>
      <c r="G321" s="31" t="s">
        <v>316</v>
      </c>
      <c r="H321" s="31" t="s">
        <v>316</v>
      </c>
      <c r="I321" s="31" t="s">
        <v>316</v>
      </c>
      <c r="J321" s="31" t="s">
        <v>316</v>
      </c>
      <c r="K321" s="31" t="s">
        <v>316</v>
      </c>
      <c r="L321" s="32" t="str">
        <f t="shared" si="20"/>
        <v>INCLUDE</v>
      </c>
      <c r="M321" s="32" t="str">
        <f t="shared" si="21"/>
        <v/>
      </c>
      <c r="N321" s="33" t="s">
        <v>58</v>
      </c>
      <c r="O321" s="33" t="s">
        <v>58</v>
      </c>
      <c r="P321" s="34"/>
      <c r="Q321" s="34"/>
      <c r="R321" s="34"/>
      <c r="S321" s="32" t="str">
        <f t="shared" si="22"/>
        <v/>
      </c>
      <c r="T321" s="32" t="str">
        <f t="shared" si="23"/>
        <v/>
      </c>
      <c r="U321" s="35"/>
      <c r="V321" s="35"/>
      <c r="W321" s="35"/>
      <c r="X321" s="35"/>
      <c r="Y321" s="32" t="str">
        <f t="shared" si="24"/>
        <v/>
      </c>
      <c r="Z321" s="35"/>
      <c r="AA321" s="35"/>
      <c r="AB321" s="35"/>
      <c r="AC321" s="35"/>
      <c r="AD321" s="35"/>
      <c r="AE321" s="35"/>
      <c r="AF321" s="35"/>
      <c r="AG321" s="15" t="s">
        <v>633</v>
      </c>
    </row>
    <row r="322" spans="1:33" ht="22.8" x14ac:dyDescent="0.3">
      <c r="A322" s="30">
        <v>3583</v>
      </c>
      <c r="B322" s="9" t="s">
        <v>269</v>
      </c>
      <c r="C322" s="36">
        <v>2025</v>
      </c>
      <c r="D322" s="9"/>
      <c r="E322" s="9" t="s">
        <v>1053</v>
      </c>
      <c r="F322" s="30" t="s">
        <v>314</v>
      </c>
      <c r="G322" s="31" t="s">
        <v>316</v>
      </c>
      <c r="H322" s="31" t="s">
        <v>316</v>
      </c>
      <c r="I322" s="31" t="s">
        <v>316</v>
      </c>
      <c r="J322" s="31" t="s">
        <v>316</v>
      </c>
      <c r="K322" s="31" t="s">
        <v>316</v>
      </c>
      <c r="L322" s="32" t="str">
        <f t="shared" ref="L322:L385" si="25">IF(COUNTBLANK(G322:K322)=5,"",IF(COUNTIF(G322:K322,"No")&gt;0,"EXCLUDE","INCLUDE"))</f>
        <v>INCLUDE</v>
      </c>
      <c r="M322" s="32" t="str">
        <f t="shared" ref="M322:M385" si="26">IF(L322&lt;&gt;"EXCLUDE","",IF(G322="No","Wrong domain (non-AECO)",IF(H322="No","Digital Twin not core / buzzword",IF(I322="No","No Design for Safety/Quality/PtD",IF(J322="No","Wrong publication type",IF(K322="No","Non-English",""))))))</f>
        <v/>
      </c>
      <c r="N322" s="33" t="s">
        <v>58</v>
      </c>
      <c r="O322" s="33" t="s">
        <v>58</v>
      </c>
      <c r="P322" s="34"/>
      <c r="Q322" s="34"/>
      <c r="R322" s="34"/>
      <c r="S322" s="32" t="str">
        <f t="shared" ref="S322:S385" si="27">IF(N322&lt;&gt;"Yes","",IF(COUNTBLANK(P322:R322)=3,"",IF(COUNTIF(P322:R322,"No")&gt;0,"EXCLUDE","INCLUDE")))</f>
        <v/>
      </c>
      <c r="T322" s="32" t="str">
        <f t="shared" ref="T322:T385" si="28">IF(S322&lt;&gt;"EXCLUDE","",IF(P322="No","Digital Twin mentioned only, not the subject",IF(Q322="No","No Design for Safety/Quality in full text",IF(R322="No","Methodology not codable",""))))</f>
        <v/>
      </c>
      <c r="U322" s="35"/>
      <c r="V322" s="35"/>
      <c r="W322" s="35"/>
      <c r="X322" s="35"/>
      <c r="Y322" s="32" t="str">
        <f t="shared" ref="Y322:Y385" si="29">IF(SUM(V322:X322)=0,"",IF(SUM(V322:X322)&gt;=2,"Multi","Single"))</f>
        <v/>
      </c>
      <c r="Z322" s="35"/>
      <c r="AA322" s="35"/>
      <c r="AB322" s="35"/>
      <c r="AC322" s="35"/>
      <c r="AD322" s="35"/>
      <c r="AE322" s="35"/>
      <c r="AF322" s="35"/>
      <c r="AG322" s="15" t="s">
        <v>634</v>
      </c>
    </row>
    <row r="323" spans="1:33" ht="22.8" x14ac:dyDescent="0.3">
      <c r="A323" s="30">
        <v>3948</v>
      </c>
      <c r="B323" s="9" t="s">
        <v>271</v>
      </c>
      <c r="C323" s="36">
        <v>2026</v>
      </c>
      <c r="D323" s="9"/>
      <c r="E323" s="9" t="s">
        <v>1054</v>
      </c>
      <c r="F323" s="30" t="s">
        <v>315</v>
      </c>
      <c r="G323" s="31" t="s">
        <v>316</v>
      </c>
      <c r="H323" s="31" t="s">
        <v>316</v>
      </c>
      <c r="I323" s="31" t="s">
        <v>316</v>
      </c>
      <c r="J323" s="31" t="s">
        <v>316</v>
      </c>
      <c r="K323" s="31" t="s">
        <v>316</v>
      </c>
      <c r="L323" s="32" t="str">
        <f t="shared" si="25"/>
        <v>INCLUDE</v>
      </c>
      <c r="M323" s="32" t="str">
        <f t="shared" si="26"/>
        <v/>
      </c>
      <c r="N323" s="33" t="s">
        <v>58</v>
      </c>
      <c r="O323" s="33" t="s">
        <v>58</v>
      </c>
      <c r="P323" s="34"/>
      <c r="Q323" s="34"/>
      <c r="R323" s="34"/>
      <c r="S323" s="32" t="str">
        <f t="shared" si="27"/>
        <v/>
      </c>
      <c r="T323" s="32" t="str">
        <f t="shared" si="28"/>
        <v/>
      </c>
      <c r="U323" s="35"/>
      <c r="V323" s="35"/>
      <c r="W323" s="35"/>
      <c r="X323" s="35"/>
      <c r="Y323" s="32" t="str">
        <f t="shared" si="29"/>
        <v/>
      </c>
      <c r="Z323" s="35"/>
      <c r="AA323" s="35"/>
      <c r="AB323" s="35"/>
      <c r="AC323" s="35"/>
      <c r="AD323" s="35"/>
      <c r="AE323" s="35"/>
      <c r="AF323" s="35"/>
      <c r="AG323" s="15" t="s">
        <v>635</v>
      </c>
    </row>
    <row r="324" spans="1:33" ht="22.8" x14ac:dyDescent="0.3">
      <c r="A324" s="30">
        <v>3850</v>
      </c>
      <c r="B324" s="9"/>
      <c r="C324" s="36"/>
      <c r="D324" s="9"/>
      <c r="E324" s="9" t="s">
        <v>1055</v>
      </c>
      <c r="F324" s="30" t="s">
        <v>314</v>
      </c>
      <c r="G324" s="31" t="s">
        <v>316</v>
      </c>
      <c r="H324" s="31" t="s">
        <v>317</v>
      </c>
      <c r="I324" s="31" t="s">
        <v>317</v>
      </c>
      <c r="J324" s="31" t="s">
        <v>316</v>
      </c>
      <c r="K324" s="31" t="s">
        <v>316</v>
      </c>
      <c r="L324" s="32" t="str">
        <f t="shared" si="25"/>
        <v>EXCLUDE</v>
      </c>
      <c r="M324" s="32" t="str">
        <f t="shared" si="26"/>
        <v>Digital Twin not core / buzzword</v>
      </c>
      <c r="N324" s="33"/>
      <c r="O324" s="33"/>
      <c r="P324" s="34"/>
      <c r="Q324" s="34"/>
      <c r="R324" s="34"/>
      <c r="S324" s="32" t="str">
        <f t="shared" si="27"/>
        <v/>
      </c>
      <c r="T324" s="32" t="str">
        <f t="shared" si="28"/>
        <v/>
      </c>
      <c r="U324" s="35"/>
      <c r="V324" s="35"/>
      <c r="W324" s="35"/>
      <c r="X324" s="35"/>
      <c r="Y324" s="32" t="str">
        <f t="shared" si="29"/>
        <v/>
      </c>
      <c r="Z324" s="35"/>
      <c r="AA324" s="35"/>
      <c r="AB324" s="35"/>
      <c r="AC324" s="35"/>
      <c r="AD324" s="35"/>
      <c r="AE324" s="35"/>
      <c r="AF324" s="35"/>
      <c r="AG324" s="15" t="s">
        <v>636</v>
      </c>
    </row>
    <row r="325" spans="1:33" ht="22.8" x14ac:dyDescent="0.3">
      <c r="A325" s="30">
        <v>3559</v>
      </c>
      <c r="B325" s="9" t="s">
        <v>272</v>
      </c>
      <c r="C325" s="36">
        <v>2022</v>
      </c>
      <c r="D325" s="9"/>
      <c r="E325" s="9" t="s">
        <v>1056</v>
      </c>
      <c r="F325" s="30" t="s">
        <v>314</v>
      </c>
      <c r="G325" s="31" t="s">
        <v>316</v>
      </c>
      <c r="H325" s="31" t="s">
        <v>316</v>
      </c>
      <c r="I325" s="31" t="s">
        <v>316</v>
      </c>
      <c r="J325" s="31" t="s">
        <v>316</v>
      </c>
      <c r="K325" s="31" t="s">
        <v>316</v>
      </c>
      <c r="L325" s="32" t="str">
        <f t="shared" si="25"/>
        <v>INCLUDE</v>
      </c>
      <c r="M325" s="32" t="str">
        <f t="shared" si="26"/>
        <v/>
      </c>
      <c r="N325" s="33" t="s">
        <v>58</v>
      </c>
      <c r="O325" s="33" t="s">
        <v>58</v>
      </c>
      <c r="P325" s="34"/>
      <c r="Q325" s="34"/>
      <c r="R325" s="34"/>
      <c r="S325" s="32" t="str">
        <f t="shared" si="27"/>
        <v/>
      </c>
      <c r="T325" s="32" t="str">
        <f t="shared" si="28"/>
        <v/>
      </c>
      <c r="U325" s="35"/>
      <c r="V325" s="35"/>
      <c r="W325" s="35"/>
      <c r="X325" s="35"/>
      <c r="Y325" s="32" t="str">
        <f t="shared" si="29"/>
        <v/>
      </c>
      <c r="Z325" s="35"/>
      <c r="AA325" s="35"/>
      <c r="AB325" s="35"/>
      <c r="AC325" s="35"/>
      <c r="AD325" s="35"/>
      <c r="AE325" s="35"/>
      <c r="AF325" s="35"/>
      <c r="AG325" s="15" t="s">
        <v>637</v>
      </c>
    </row>
    <row r="326" spans="1:33" ht="22.8" x14ac:dyDescent="0.3">
      <c r="A326" s="30">
        <v>3737</v>
      </c>
      <c r="B326" s="9"/>
      <c r="C326" s="36"/>
      <c r="D326" s="9"/>
      <c r="E326" s="9" t="s">
        <v>1057</v>
      </c>
      <c r="F326" s="30" t="s">
        <v>314</v>
      </c>
      <c r="G326" s="31" t="s">
        <v>316</v>
      </c>
      <c r="H326" s="31" t="s">
        <v>316</v>
      </c>
      <c r="I326" s="31" t="s">
        <v>316</v>
      </c>
      <c r="J326" s="31" t="s">
        <v>316</v>
      </c>
      <c r="K326" s="31" t="s">
        <v>317</v>
      </c>
      <c r="L326" s="32" t="str">
        <f t="shared" si="25"/>
        <v>EXCLUDE</v>
      </c>
      <c r="M326" s="32" t="str">
        <f t="shared" si="26"/>
        <v>Non-English</v>
      </c>
      <c r="N326" s="33"/>
      <c r="O326" s="33"/>
      <c r="P326" s="34"/>
      <c r="Q326" s="34"/>
      <c r="R326" s="34"/>
      <c r="S326" s="32" t="str">
        <f t="shared" si="27"/>
        <v/>
      </c>
      <c r="T326" s="32" t="str">
        <f t="shared" si="28"/>
        <v/>
      </c>
      <c r="U326" s="35"/>
      <c r="V326" s="35"/>
      <c r="W326" s="35"/>
      <c r="X326" s="35"/>
      <c r="Y326" s="32" t="str">
        <f t="shared" si="29"/>
        <v/>
      </c>
      <c r="Z326" s="35"/>
      <c r="AA326" s="35"/>
      <c r="AB326" s="35"/>
      <c r="AC326" s="35"/>
      <c r="AD326" s="35"/>
      <c r="AE326" s="35"/>
      <c r="AF326" s="35"/>
      <c r="AG326" s="15" t="s">
        <v>638</v>
      </c>
    </row>
    <row r="327" spans="1:33" ht="22.8" x14ac:dyDescent="0.3">
      <c r="A327" s="30">
        <v>3552</v>
      </c>
      <c r="B327" s="9"/>
      <c r="C327" s="36"/>
      <c r="D327" s="9"/>
      <c r="E327" s="9" t="s">
        <v>1058</v>
      </c>
      <c r="F327" s="30" t="s">
        <v>314</v>
      </c>
      <c r="G327" s="31" t="s">
        <v>316</v>
      </c>
      <c r="H327" s="31" t="s">
        <v>317</v>
      </c>
      <c r="I327" s="31" t="s">
        <v>317</v>
      </c>
      <c r="J327" s="31" t="s">
        <v>316</v>
      </c>
      <c r="K327" s="31" t="s">
        <v>316</v>
      </c>
      <c r="L327" s="32" t="str">
        <f t="shared" si="25"/>
        <v>EXCLUDE</v>
      </c>
      <c r="M327" s="32" t="str">
        <f t="shared" si="26"/>
        <v>Digital Twin not core / buzzword</v>
      </c>
      <c r="N327" s="33"/>
      <c r="O327" s="33"/>
      <c r="P327" s="34"/>
      <c r="Q327" s="34"/>
      <c r="R327" s="34"/>
      <c r="S327" s="32" t="str">
        <f t="shared" si="27"/>
        <v/>
      </c>
      <c r="T327" s="32" t="str">
        <f t="shared" si="28"/>
        <v/>
      </c>
      <c r="U327" s="35"/>
      <c r="V327" s="35"/>
      <c r="W327" s="35"/>
      <c r="X327" s="35"/>
      <c r="Y327" s="32" t="str">
        <f t="shared" si="29"/>
        <v/>
      </c>
      <c r="Z327" s="35"/>
      <c r="AA327" s="35"/>
      <c r="AB327" s="35"/>
      <c r="AC327" s="35"/>
      <c r="AD327" s="35"/>
      <c r="AE327" s="35"/>
      <c r="AF327" s="35"/>
      <c r="AG327" s="15" t="s">
        <v>639</v>
      </c>
    </row>
    <row r="328" spans="1:33" x14ac:dyDescent="0.3">
      <c r="A328" s="30">
        <v>3904</v>
      </c>
      <c r="B328" s="9"/>
      <c r="C328" s="36"/>
      <c r="D328" s="9"/>
      <c r="E328" s="9" t="s">
        <v>1059</v>
      </c>
      <c r="F328" s="30" t="s">
        <v>315</v>
      </c>
      <c r="G328" s="31" t="s">
        <v>316</v>
      </c>
      <c r="H328" s="31" t="s">
        <v>316</v>
      </c>
      <c r="I328" s="31" t="s">
        <v>316</v>
      </c>
      <c r="J328" s="31" t="s">
        <v>316</v>
      </c>
      <c r="K328" s="31" t="s">
        <v>317</v>
      </c>
      <c r="L328" s="32" t="str">
        <f t="shared" si="25"/>
        <v>EXCLUDE</v>
      </c>
      <c r="M328" s="32" t="str">
        <f t="shared" si="26"/>
        <v>Non-English</v>
      </c>
      <c r="N328" s="33"/>
      <c r="O328" s="33"/>
      <c r="P328" s="34"/>
      <c r="Q328" s="34"/>
      <c r="R328" s="34"/>
      <c r="S328" s="32" t="str">
        <f t="shared" si="27"/>
        <v/>
      </c>
      <c r="T328" s="32" t="str">
        <f t="shared" si="28"/>
        <v/>
      </c>
      <c r="U328" s="35"/>
      <c r="V328" s="35"/>
      <c r="W328" s="35"/>
      <c r="X328" s="35"/>
      <c r="Y328" s="32" t="str">
        <f t="shared" si="29"/>
        <v/>
      </c>
      <c r="Z328" s="35"/>
      <c r="AA328" s="35"/>
      <c r="AB328" s="35"/>
      <c r="AC328" s="35"/>
      <c r="AD328" s="35"/>
      <c r="AE328" s="35"/>
      <c r="AF328" s="35"/>
      <c r="AG328" s="15" t="s">
        <v>557</v>
      </c>
    </row>
    <row r="329" spans="1:33" ht="22.8" x14ac:dyDescent="0.3">
      <c r="A329" s="30">
        <v>3621</v>
      </c>
      <c r="B329" s="9"/>
      <c r="C329" s="36"/>
      <c r="D329" s="9"/>
      <c r="E329" s="9" t="s">
        <v>1060</v>
      </c>
      <c r="F329" s="30" t="s">
        <v>314</v>
      </c>
      <c r="G329" s="31" t="s">
        <v>316</v>
      </c>
      <c r="H329" s="31" t="s">
        <v>317</v>
      </c>
      <c r="I329" s="31" t="s">
        <v>316</v>
      </c>
      <c r="J329" s="31" t="s">
        <v>316</v>
      </c>
      <c r="K329" s="31" t="s">
        <v>316</v>
      </c>
      <c r="L329" s="32" t="str">
        <f t="shared" si="25"/>
        <v>EXCLUDE</v>
      </c>
      <c r="M329" s="32" t="str">
        <f t="shared" si="26"/>
        <v>Digital Twin not core / buzzword</v>
      </c>
      <c r="N329" s="33"/>
      <c r="O329" s="33"/>
      <c r="P329" s="34"/>
      <c r="Q329" s="34"/>
      <c r="R329" s="34"/>
      <c r="S329" s="32" t="str">
        <f t="shared" si="27"/>
        <v/>
      </c>
      <c r="T329" s="32" t="str">
        <f t="shared" si="28"/>
        <v/>
      </c>
      <c r="U329" s="35"/>
      <c r="V329" s="35"/>
      <c r="W329" s="35"/>
      <c r="X329" s="35"/>
      <c r="Y329" s="32" t="str">
        <f t="shared" si="29"/>
        <v/>
      </c>
      <c r="Z329" s="35"/>
      <c r="AA329" s="35"/>
      <c r="AB329" s="35"/>
      <c r="AC329" s="35"/>
      <c r="AD329" s="35"/>
      <c r="AE329" s="35"/>
      <c r="AF329" s="35"/>
      <c r="AG329" s="15" t="s">
        <v>640</v>
      </c>
    </row>
    <row r="330" spans="1:33" ht="114" x14ac:dyDescent="0.3">
      <c r="A330" s="30">
        <v>3946</v>
      </c>
      <c r="B330" s="9" t="s">
        <v>273</v>
      </c>
      <c r="C330" s="36">
        <v>2026</v>
      </c>
      <c r="D330" s="9"/>
      <c r="E330" s="9" t="s">
        <v>1061</v>
      </c>
      <c r="F330" s="30" t="s">
        <v>315</v>
      </c>
      <c r="G330" s="31" t="s">
        <v>316</v>
      </c>
      <c r="H330" s="31" t="s">
        <v>316</v>
      </c>
      <c r="I330" s="31" t="s">
        <v>316</v>
      </c>
      <c r="J330" s="31" t="s">
        <v>316</v>
      </c>
      <c r="K330" s="31" t="s">
        <v>316</v>
      </c>
      <c r="L330" s="32" t="str">
        <f t="shared" si="25"/>
        <v>INCLUDE</v>
      </c>
      <c r="M330" s="32" t="str">
        <f t="shared" si="26"/>
        <v/>
      </c>
      <c r="N330" s="33" t="s">
        <v>49</v>
      </c>
      <c r="O330" s="33" t="s">
        <v>49</v>
      </c>
      <c r="P330" s="34" t="s">
        <v>49</v>
      </c>
      <c r="Q330" s="34" t="s">
        <v>49</v>
      </c>
      <c r="R330" s="34" t="s">
        <v>49</v>
      </c>
      <c r="S330" s="32" t="str">
        <f t="shared" si="27"/>
        <v>INCLUDE</v>
      </c>
      <c r="T330" s="32" t="str">
        <f t="shared" si="28"/>
        <v/>
      </c>
      <c r="U330" s="35" t="s">
        <v>61</v>
      </c>
      <c r="V330" s="35">
        <v>0</v>
      </c>
      <c r="W330" s="35">
        <v>1</v>
      </c>
      <c r="X330" s="35">
        <v>0</v>
      </c>
      <c r="Y330" s="32" t="str">
        <f t="shared" si="29"/>
        <v>Single</v>
      </c>
      <c r="Z330" s="35" t="s">
        <v>11</v>
      </c>
      <c r="AA330" s="35" t="s">
        <v>53</v>
      </c>
      <c r="AB330" s="35" t="s">
        <v>89</v>
      </c>
      <c r="AC330" s="35" t="s">
        <v>64</v>
      </c>
      <c r="AD330" s="35" t="s">
        <v>72</v>
      </c>
      <c r="AE330" s="35">
        <v>4</v>
      </c>
      <c r="AF330" s="35" t="s">
        <v>66</v>
      </c>
      <c r="AG330" s="15" t="s">
        <v>641</v>
      </c>
    </row>
    <row r="331" spans="1:33" ht="22.8" x14ac:dyDescent="0.3">
      <c r="A331" s="30">
        <v>3834</v>
      </c>
      <c r="B331" s="9"/>
      <c r="C331" s="36"/>
      <c r="D331" s="9"/>
      <c r="E331" s="9" t="s">
        <v>1062</v>
      </c>
      <c r="F331" s="30" t="s">
        <v>314</v>
      </c>
      <c r="G331" s="31" t="s">
        <v>317</v>
      </c>
      <c r="H331" s="31" t="s">
        <v>316</v>
      </c>
      <c r="I331" s="31" t="s">
        <v>317</v>
      </c>
      <c r="J331" s="31" t="s">
        <v>316</v>
      </c>
      <c r="K331" s="31" t="s">
        <v>316</v>
      </c>
      <c r="L331" s="32" t="str">
        <f t="shared" si="25"/>
        <v>EXCLUDE</v>
      </c>
      <c r="M331" s="32" t="str">
        <f t="shared" si="26"/>
        <v>Wrong domain (non-AECO)</v>
      </c>
      <c r="N331" s="33"/>
      <c r="O331" s="33"/>
      <c r="P331" s="34"/>
      <c r="Q331" s="34"/>
      <c r="R331" s="34"/>
      <c r="S331" s="32" t="str">
        <f t="shared" si="27"/>
        <v/>
      </c>
      <c r="T331" s="32" t="str">
        <f t="shared" si="28"/>
        <v/>
      </c>
      <c r="U331" s="35"/>
      <c r="V331" s="35"/>
      <c r="W331" s="35"/>
      <c r="X331" s="35"/>
      <c r="Y331" s="32" t="str">
        <f t="shared" si="29"/>
        <v/>
      </c>
      <c r="Z331" s="35"/>
      <c r="AA331" s="35"/>
      <c r="AB331" s="35"/>
      <c r="AC331" s="35"/>
      <c r="AD331" s="35"/>
      <c r="AE331" s="35"/>
      <c r="AF331" s="35"/>
      <c r="AG331" s="15" t="s">
        <v>642</v>
      </c>
    </row>
    <row r="332" spans="1:33" ht="79.8" x14ac:dyDescent="0.3">
      <c r="A332" s="30">
        <v>3593</v>
      </c>
      <c r="B332" s="9" t="s">
        <v>274</v>
      </c>
      <c r="C332" s="36">
        <v>2021</v>
      </c>
      <c r="D332" s="9"/>
      <c r="E332" s="9" t="s">
        <v>1063</v>
      </c>
      <c r="F332" s="30" t="s">
        <v>314</v>
      </c>
      <c r="G332" s="31" t="s">
        <v>316</v>
      </c>
      <c r="H332" s="31" t="s">
        <v>316</v>
      </c>
      <c r="I332" s="31" t="s">
        <v>316</v>
      </c>
      <c r="J332" s="31" t="s">
        <v>316</v>
      </c>
      <c r="K332" s="31" t="s">
        <v>316</v>
      </c>
      <c r="L332" s="32" t="str">
        <f t="shared" si="25"/>
        <v>INCLUDE</v>
      </c>
      <c r="M332" s="32" t="str">
        <f t="shared" si="26"/>
        <v/>
      </c>
      <c r="N332" s="33" t="s">
        <v>49</v>
      </c>
      <c r="O332" s="33" t="s">
        <v>49</v>
      </c>
      <c r="P332" s="34" t="s">
        <v>49</v>
      </c>
      <c r="Q332" s="34" t="s">
        <v>49</v>
      </c>
      <c r="R332" s="34" t="s">
        <v>49</v>
      </c>
      <c r="S332" s="32" t="str">
        <f t="shared" si="27"/>
        <v>INCLUDE</v>
      </c>
      <c r="T332" s="32" t="str">
        <f t="shared" si="28"/>
        <v/>
      </c>
      <c r="U332" s="35" t="s">
        <v>82</v>
      </c>
      <c r="V332" s="35">
        <v>0</v>
      </c>
      <c r="W332" s="35">
        <v>1</v>
      </c>
      <c r="X332" s="35">
        <v>0</v>
      </c>
      <c r="Y332" s="32" t="str">
        <f t="shared" si="29"/>
        <v>Single</v>
      </c>
      <c r="Z332" s="35" t="s">
        <v>9</v>
      </c>
      <c r="AA332" s="35" t="s">
        <v>53</v>
      </c>
      <c r="AB332" s="35" t="s">
        <v>91</v>
      </c>
      <c r="AC332" s="35" t="s">
        <v>64</v>
      </c>
      <c r="AD332" s="35" t="s">
        <v>56</v>
      </c>
      <c r="AE332" s="35">
        <v>2</v>
      </c>
      <c r="AF332" s="35" t="s">
        <v>80</v>
      </c>
      <c r="AG332" s="15" t="s">
        <v>643</v>
      </c>
    </row>
    <row r="333" spans="1:33" ht="114" x14ac:dyDescent="0.3">
      <c r="A333" s="30">
        <v>3935</v>
      </c>
      <c r="B333" s="9" t="s">
        <v>275</v>
      </c>
      <c r="C333" s="36">
        <v>2024</v>
      </c>
      <c r="D333" s="9"/>
      <c r="E333" s="9" t="s">
        <v>1064</v>
      </c>
      <c r="F333" s="30" t="s">
        <v>315</v>
      </c>
      <c r="G333" s="31" t="s">
        <v>316</v>
      </c>
      <c r="H333" s="31" t="s">
        <v>316</v>
      </c>
      <c r="I333" s="31" t="s">
        <v>316</v>
      </c>
      <c r="J333" s="31" t="s">
        <v>316</v>
      </c>
      <c r="K333" s="31" t="s">
        <v>316</v>
      </c>
      <c r="L333" s="32" t="str">
        <f t="shared" si="25"/>
        <v>INCLUDE</v>
      </c>
      <c r="M333" s="32" t="str">
        <f t="shared" si="26"/>
        <v/>
      </c>
      <c r="N333" s="33" t="s">
        <v>49</v>
      </c>
      <c r="O333" s="33" t="s">
        <v>49</v>
      </c>
      <c r="P333" s="34" t="s">
        <v>49</v>
      </c>
      <c r="Q333" s="34" t="s">
        <v>49</v>
      </c>
      <c r="R333" s="34" t="s">
        <v>49</v>
      </c>
      <c r="S333" s="32" t="str">
        <f t="shared" si="27"/>
        <v>INCLUDE</v>
      </c>
      <c r="T333" s="32" t="str">
        <f t="shared" si="28"/>
        <v/>
      </c>
      <c r="U333" s="35" t="s">
        <v>52</v>
      </c>
      <c r="V333" s="35">
        <v>0</v>
      </c>
      <c r="W333" s="35">
        <v>1</v>
      </c>
      <c r="X333" s="35">
        <v>0</v>
      </c>
      <c r="Y333" s="32" t="str">
        <f t="shared" si="29"/>
        <v>Single</v>
      </c>
      <c r="Z333" s="35" t="s">
        <v>69</v>
      </c>
      <c r="AA333" s="35" t="s">
        <v>62</v>
      </c>
      <c r="AB333" s="35" t="s">
        <v>91</v>
      </c>
      <c r="AC333" s="35" t="s">
        <v>64</v>
      </c>
      <c r="AD333" s="35" t="s">
        <v>56</v>
      </c>
      <c r="AE333" s="35">
        <v>3</v>
      </c>
      <c r="AF333" s="35" t="s">
        <v>57</v>
      </c>
      <c r="AG333" s="15" t="s">
        <v>644</v>
      </c>
    </row>
    <row r="334" spans="1:33" x14ac:dyDescent="0.3">
      <c r="A334" s="30">
        <v>3878</v>
      </c>
      <c r="B334" s="9" t="s">
        <v>276</v>
      </c>
      <c r="C334" s="36">
        <v>2024</v>
      </c>
      <c r="D334" s="9"/>
      <c r="E334" s="9" t="s">
        <v>1065</v>
      </c>
      <c r="F334" s="30" t="s">
        <v>315</v>
      </c>
      <c r="G334" s="31" t="s">
        <v>316</v>
      </c>
      <c r="H334" s="31" t="s">
        <v>316</v>
      </c>
      <c r="I334" s="31" t="s">
        <v>316</v>
      </c>
      <c r="J334" s="31" t="s">
        <v>316</v>
      </c>
      <c r="K334" s="31" t="s">
        <v>316</v>
      </c>
      <c r="L334" s="32" t="str">
        <f t="shared" si="25"/>
        <v>INCLUDE</v>
      </c>
      <c r="M334" s="32" t="str">
        <f t="shared" si="26"/>
        <v/>
      </c>
      <c r="N334" s="33" t="s">
        <v>58</v>
      </c>
      <c r="O334" s="33" t="s">
        <v>58</v>
      </c>
      <c r="P334" s="34"/>
      <c r="Q334" s="34"/>
      <c r="R334" s="34"/>
      <c r="S334" s="32" t="str">
        <f t="shared" si="27"/>
        <v/>
      </c>
      <c r="T334" s="32" t="str">
        <f t="shared" si="28"/>
        <v/>
      </c>
      <c r="U334" s="35"/>
      <c r="V334" s="35"/>
      <c r="W334" s="35"/>
      <c r="X334" s="35"/>
      <c r="Y334" s="32" t="str">
        <f t="shared" si="29"/>
        <v/>
      </c>
      <c r="Z334" s="35"/>
      <c r="AA334" s="35"/>
      <c r="AB334" s="35"/>
      <c r="AC334" s="35"/>
      <c r="AD334" s="35"/>
      <c r="AE334" s="35"/>
      <c r="AF334" s="35"/>
      <c r="AG334" s="15" t="s">
        <v>645</v>
      </c>
    </row>
    <row r="335" spans="1:33" ht="102.6" x14ac:dyDescent="0.3">
      <c r="A335" s="30">
        <v>3840</v>
      </c>
      <c r="B335" s="9" t="s">
        <v>277</v>
      </c>
      <c r="C335" s="36">
        <v>2025</v>
      </c>
      <c r="D335" s="9"/>
      <c r="E335" s="9" t="s">
        <v>1066</v>
      </c>
      <c r="F335" s="30" t="s">
        <v>314</v>
      </c>
      <c r="G335" s="31" t="s">
        <v>316</v>
      </c>
      <c r="H335" s="31" t="s">
        <v>316</v>
      </c>
      <c r="I335" s="31" t="s">
        <v>316</v>
      </c>
      <c r="J335" s="31" t="s">
        <v>316</v>
      </c>
      <c r="K335" s="31" t="s">
        <v>316</v>
      </c>
      <c r="L335" s="32" t="str">
        <f t="shared" si="25"/>
        <v>INCLUDE</v>
      </c>
      <c r="M335" s="32" t="str">
        <f t="shared" si="26"/>
        <v/>
      </c>
      <c r="N335" s="33" t="s">
        <v>49</v>
      </c>
      <c r="O335" s="33" t="s">
        <v>49</v>
      </c>
      <c r="P335" s="34" t="s">
        <v>49</v>
      </c>
      <c r="Q335" s="34" t="s">
        <v>49</v>
      </c>
      <c r="R335" s="34" t="s">
        <v>49</v>
      </c>
      <c r="S335" s="32" t="str">
        <f t="shared" si="27"/>
        <v>INCLUDE</v>
      </c>
      <c r="T335" s="32" t="str">
        <f t="shared" si="28"/>
        <v/>
      </c>
      <c r="U335" s="35" t="s">
        <v>82</v>
      </c>
      <c r="V335" s="35">
        <v>0</v>
      </c>
      <c r="W335" s="35">
        <v>0</v>
      </c>
      <c r="X335" s="35">
        <v>1</v>
      </c>
      <c r="Y335" s="32" t="str">
        <f t="shared" si="29"/>
        <v>Single</v>
      </c>
      <c r="Z335" s="35" t="s">
        <v>9</v>
      </c>
      <c r="AA335" s="35" t="s">
        <v>53</v>
      </c>
      <c r="AB335" s="35" t="s">
        <v>88</v>
      </c>
      <c r="AC335" s="35" t="s">
        <v>64</v>
      </c>
      <c r="AD335" s="35" t="s">
        <v>56</v>
      </c>
      <c r="AE335" s="35">
        <v>2</v>
      </c>
      <c r="AF335" s="35" t="s">
        <v>76</v>
      </c>
      <c r="AG335" s="15" t="s">
        <v>646</v>
      </c>
    </row>
    <row r="336" spans="1:33" ht="22.8" x14ac:dyDescent="0.3">
      <c r="A336" s="30">
        <v>3836</v>
      </c>
      <c r="B336" s="9" t="s">
        <v>278</v>
      </c>
      <c r="C336" s="36">
        <v>2025</v>
      </c>
      <c r="D336" s="9"/>
      <c r="E336" s="9" t="s">
        <v>1067</v>
      </c>
      <c r="F336" s="30" t="s">
        <v>314</v>
      </c>
      <c r="G336" s="31" t="s">
        <v>316</v>
      </c>
      <c r="H336" s="31" t="s">
        <v>316</v>
      </c>
      <c r="I336" s="31" t="s">
        <v>316</v>
      </c>
      <c r="J336" s="31" t="s">
        <v>316</v>
      </c>
      <c r="K336" s="31" t="s">
        <v>316</v>
      </c>
      <c r="L336" s="32" t="str">
        <f t="shared" si="25"/>
        <v>INCLUDE</v>
      </c>
      <c r="M336" s="32" t="str">
        <f t="shared" si="26"/>
        <v/>
      </c>
      <c r="N336" s="33" t="s">
        <v>58</v>
      </c>
      <c r="O336" s="33" t="s">
        <v>58</v>
      </c>
      <c r="P336" s="34"/>
      <c r="Q336" s="34"/>
      <c r="R336" s="34"/>
      <c r="S336" s="32" t="str">
        <f t="shared" si="27"/>
        <v/>
      </c>
      <c r="T336" s="32" t="str">
        <f t="shared" si="28"/>
        <v/>
      </c>
      <c r="U336" s="35"/>
      <c r="V336" s="35"/>
      <c r="W336" s="35"/>
      <c r="X336" s="35"/>
      <c r="Y336" s="32" t="str">
        <f t="shared" si="29"/>
        <v/>
      </c>
      <c r="Z336" s="35"/>
      <c r="AA336" s="35"/>
      <c r="AB336" s="35"/>
      <c r="AC336" s="35"/>
      <c r="AD336" s="35"/>
      <c r="AE336" s="35"/>
      <c r="AF336" s="35"/>
      <c r="AG336" s="15" t="s">
        <v>647</v>
      </c>
    </row>
    <row r="337" spans="1:33" ht="22.8" x14ac:dyDescent="0.3">
      <c r="A337" s="30">
        <v>3494</v>
      </c>
      <c r="B337" s="9"/>
      <c r="C337" s="36"/>
      <c r="D337" s="9"/>
      <c r="E337" s="9" t="s">
        <v>1068</v>
      </c>
      <c r="F337" s="30" t="s">
        <v>314</v>
      </c>
      <c r="G337" s="31" t="s">
        <v>316</v>
      </c>
      <c r="H337" s="31" t="s">
        <v>317</v>
      </c>
      <c r="I337" s="31" t="s">
        <v>317</v>
      </c>
      <c r="J337" s="31" t="s">
        <v>316</v>
      </c>
      <c r="K337" s="31" t="s">
        <v>316</v>
      </c>
      <c r="L337" s="32" t="str">
        <f t="shared" si="25"/>
        <v>EXCLUDE</v>
      </c>
      <c r="M337" s="32" t="str">
        <f t="shared" si="26"/>
        <v>Digital Twin not core / buzzword</v>
      </c>
      <c r="N337" s="33"/>
      <c r="O337" s="33"/>
      <c r="P337" s="34"/>
      <c r="Q337" s="34"/>
      <c r="R337" s="34"/>
      <c r="S337" s="32" t="str">
        <f t="shared" si="27"/>
        <v/>
      </c>
      <c r="T337" s="32" t="str">
        <f t="shared" si="28"/>
        <v/>
      </c>
      <c r="U337" s="35"/>
      <c r="V337" s="35"/>
      <c r="W337" s="35"/>
      <c r="X337" s="35"/>
      <c r="Y337" s="32" t="str">
        <f t="shared" si="29"/>
        <v/>
      </c>
      <c r="Z337" s="35"/>
      <c r="AA337" s="35"/>
      <c r="AB337" s="35"/>
      <c r="AC337" s="35"/>
      <c r="AD337" s="35"/>
      <c r="AE337" s="35"/>
      <c r="AF337" s="35"/>
      <c r="AG337" s="15" t="s">
        <v>648</v>
      </c>
    </row>
    <row r="338" spans="1:33" ht="22.8" x14ac:dyDescent="0.3">
      <c r="A338" s="30">
        <v>3933</v>
      </c>
      <c r="B338" s="9"/>
      <c r="C338" s="36"/>
      <c r="D338" s="9"/>
      <c r="E338" s="9" t="s">
        <v>1069</v>
      </c>
      <c r="F338" s="30" t="s">
        <v>315</v>
      </c>
      <c r="G338" s="31" t="s">
        <v>317</v>
      </c>
      <c r="H338" s="31" t="s">
        <v>316</v>
      </c>
      <c r="I338" s="31" t="s">
        <v>316</v>
      </c>
      <c r="J338" s="31" t="s">
        <v>316</v>
      </c>
      <c r="K338" s="31" t="s">
        <v>316</v>
      </c>
      <c r="L338" s="32" t="str">
        <f t="shared" si="25"/>
        <v>EXCLUDE</v>
      </c>
      <c r="M338" s="32" t="str">
        <f t="shared" si="26"/>
        <v>Wrong domain (non-AECO)</v>
      </c>
      <c r="N338" s="33"/>
      <c r="O338" s="33"/>
      <c r="P338" s="34"/>
      <c r="Q338" s="34"/>
      <c r="R338" s="34"/>
      <c r="S338" s="32" t="str">
        <f t="shared" si="27"/>
        <v/>
      </c>
      <c r="T338" s="32" t="str">
        <f t="shared" si="28"/>
        <v/>
      </c>
      <c r="U338" s="35"/>
      <c r="V338" s="35"/>
      <c r="W338" s="35"/>
      <c r="X338" s="35"/>
      <c r="Y338" s="32" t="str">
        <f t="shared" si="29"/>
        <v/>
      </c>
      <c r="Z338" s="35"/>
      <c r="AA338" s="35"/>
      <c r="AB338" s="35"/>
      <c r="AC338" s="35"/>
      <c r="AD338" s="35"/>
      <c r="AE338" s="35"/>
      <c r="AF338" s="35"/>
      <c r="AG338" s="15" t="s">
        <v>649</v>
      </c>
    </row>
    <row r="339" spans="1:33" ht="22.8" x14ac:dyDescent="0.3">
      <c r="A339" s="30">
        <v>3598</v>
      </c>
      <c r="B339" s="9"/>
      <c r="C339" s="36"/>
      <c r="D339" s="9"/>
      <c r="E339" s="9" t="s">
        <v>1070</v>
      </c>
      <c r="F339" s="30" t="s">
        <v>314</v>
      </c>
      <c r="G339" s="31" t="s">
        <v>316</v>
      </c>
      <c r="H339" s="31" t="s">
        <v>316</v>
      </c>
      <c r="I339" s="31" t="s">
        <v>317</v>
      </c>
      <c r="J339" s="31" t="s">
        <v>316</v>
      </c>
      <c r="K339" s="31" t="s">
        <v>316</v>
      </c>
      <c r="L339" s="32" t="str">
        <f t="shared" si="25"/>
        <v>EXCLUDE</v>
      </c>
      <c r="M339" s="32" t="str">
        <f t="shared" si="26"/>
        <v>No Design for Safety/Quality/PtD</v>
      </c>
      <c r="N339" s="33"/>
      <c r="O339" s="33"/>
      <c r="P339" s="34"/>
      <c r="Q339" s="34"/>
      <c r="R339" s="34"/>
      <c r="S339" s="32" t="str">
        <f t="shared" si="27"/>
        <v/>
      </c>
      <c r="T339" s="32" t="str">
        <f t="shared" si="28"/>
        <v/>
      </c>
      <c r="U339" s="35"/>
      <c r="V339" s="35"/>
      <c r="W339" s="35"/>
      <c r="X339" s="35"/>
      <c r="Y339" s="32" t="str">
        <f t="shared" si="29"/>
        <v/>
      </c>
      <c r="Z339" s="35"/>
      <c r="AA339" s="35"/>
      <c r="AB339" s="35"/>
      <c r="AC339" s="35"/>
      <c r="AD339" s="35"/>
      <c r="AE339" s="35"/>
      <c r="AF339" s="35"/>
      <c r="AG339" s="15" t="s">
        <v>650</v>
      </c>
    </row>
    <row r="340" spans="1:33" ht="22.8" x14ac:dyDescent="0.3">
      <c r="A340" s="30">
        <v>3825</v>
      </c>
      <c r="B340" s="9"/>
      <c r="C340" s="36"/>
      <c r="D340" s="9"/>
      <c r="E340" s="9" t="s">
        <v>1071</v>
      </c>
      <c r="F340" s="30" t="s">
        <v>314</v>
      </c>
      <c r="G340" s="31" t="s">
        <v>317</v>
      </c>
      <c r="H340" s="31" t="s">
        <v>316</v>
      </c>
      <c r="I340" s="31" t="s">
        <v>317</v>
      </c>
      <c r="J340" s="31" t="s">
        <v>316</v>
      </c>
      <c r="K340" s="31" t="s">
        <v>316</v>
      </c>
      <c r="L340" s="32" t="str">
        <f t="shared" si="25"/>
        <v>EXCLUDE</v>
      </c>
      <c r="M340" s="32" t="str">
        <f t="shared" si="26"/>
        <v>Wrong domain (non-AECO)</v>
      </c>
      <c r="N340" s="33"/>
      <c r="O340" s="33"/>
      <c r="P340" s="34"/>
      <c r="Q340" s="34"/>
      <c r="R340" s="34"/>
      <c r="S340" s="32" t="str">
        <f t="shared" si="27"/>
        <v/>
      </c>
      <c r="T340" s="32" t="str">
        <f t="shared" si="28"/>
        <v/>
      </c>
      <c r="U340" s="35"/>
      <c r="V340" s="35"/>
      <c r="W340" s="35"/>
      <c r="X340" s="35"/>
      <c r="Y340" s="32" t="str">
        <f t="shared" si="29"/>
        <v/>
      </c>
      <c r="Z340" s="35"/>
      <c r="AA340" s="35"/>
      <c r="AB340" s="35"/>
      <c r="AC340" s="35"/>
      <c r="AD340" s="35"/>
      <c r="AE340" s="35"/>
      <c r="AF340" s="35"/>
      <c r="AG340" s="15" t="s">
        <v>651</v>
      </c>
    </row>
    <row r="341" spans="1:33" ht="22.8" x14ac:dyDescent="0.3">
      <c r="A341" s="30">
        <v>3920</v>
      </c>
      <c r="B341" s="9" t="s">
        <v>279</v>
      </c>
      <c r="C341" s="36">
        <v>2026</v>
      </c>
      <c r="D341" s="9"/>
      <c r="E341" s="9" t="s">
        <v>1072</v>
      </c>
      <c r="F341" s="30" t="s">
        <v>315</v>
      </c>
      <c r="G341" s="31" t="s">
        <v>316</v>
      </c>
      <c r="H341" s="31" t="s">
        <v>316</v>
      </c>
      <c r="I341" s="31" t="s">
        <v>316</v>
      </c>
      <c r="J341" s="31" t="s">
        <v>316</v>
      </c>
      <c r="K341" s="31" t="s">
        <v>316</v>
      </c>
      <c r="L341" s="32" t="str">
        <f t="shared" si="25"/>
        <v>INCLUDE</v>
      </c>
      <c r="M341" s="32" t="str">
        <f t="shared" si="26"/>
        <v/>
      </c>
      <c r="N341" s="33" t="s">
        <v>58</v>
      </c>
      <c r="O341" s="33" t="s">
        <v>58</v>
      </c>
      <c r="P341" s="34"/>
      <c r="Q341" s="34"/>
      <c r="R341" s="34"/>
      <c r="S341" s="32" t="str">
        <f t="shared" si="27"/>
        <v/>
      </c>
      <c r="T341" s="32" t="str">
        <f t="shared" si="28"/>
        <v/>
      </c>
      <c r="U341" s="35"/>
      <c r="V341" s="35"/>
      <c r="W341" s="35"/>
      <c r="X341" s="35"/>
      <c r="Y341" s="32" t="str">
        <f t="shared" si="29"/>
        <v/>
      </c>
      <c r="Z341" s="35"/>
      <c r="AA341" s="35"/>
      <c r="AB341" s="35"/>
      <c r="AC341" s="35"/>
      <c r="AD341" s="35"/>
      <c r="AE341" s="35"/>
      <c r="AF341" s="35"/>
      <c r="AG341" s="15" t="s">
        <v>652</v>
      </c>
    </row>
    <row r="342" spans="1:33" ht="22.8" x14ac:dyDescent="0.3">
      <c r="A342" s="30">
        <v>3781</v>
      </c>
      <c r="B342" s="9"/>
      <c r="C342" s="36"/>
      <c r="D342" s="9"/>
      <c r="E342" s="9" t="s">
        <v>1073</v>
      </c>
      <c r="F342" s="30" t="s">
        <v>314</v>
      </c>
      <c r="G342" s="31" t="s">
        <v>316</v>
      </c>
      <c r="H342" s="31" t="s">
        <v>317</v>
      </c>
      <c r="I342" s="31" t="s">
        <v>316</v>
      </c>
      <c r="J342" s="31" t="s">
        <v>316</v>
      </c>
      <c r="K342" s="31" t="s">
        <v>316</v>
      </c>
      <c r="L342" s="32" t="str">
        <f t="shared" si="25"/>
        <v>EXCLUDE</v>
      </c>
      <c r="M342" s="32" t="str">
        <f t="shared" si="26"/>
        <v>Digital Twin not core / buzzword</v>
      </c>
      <c r="N342" s="33"/>
      <c r="O342" s="33"/>
      <c r="P342" s="34"/>
      <c r="Q342" s="34"/>
      <c r="R342" s="34"/>
      <c r="S342" s="32" t="str">
        <f t="shared" si="27"/>
        <v/>
      </c>
      <c r="T342" s="32" t="str">
        <f t="shared" si="28"/>
        <v/>
      </c>
      <c r="U342" s="35"/>
      <c r="V342" s="35"/>
      <c r="W342" s="35"/>
      <c r="X342" s="35"/>
      <c r="Y342" s="32" t="str">
        <f t="shared" si="29"/>
        <v/>
      </c>
      <c r="Z342" s="35"/>
      <c r="AA342" s="35"/>
      <c r="AB342" s="35"/>
      <c r="AC342" s="35"/>
      <c r="AD342" s="35"/>
      <c r="AE342" s="35"/>
      <c r="AF342" s="35"/>
      <c r="AG342" s="15" t="s">
        <v>653</v>
      </c>
    </row>
    <row r="343" spans="1:33" ht="22.8" x14ac:dyDescent="0.3">
      <c r="A343" s="30">
        <v>3697</v>
      </c>
      <c r="B343" s="9"/>
      <c r="C343" s="36"/>
      <c r="D343" s="9"/>
      <c r="E343" s="9" t="s">
        <v>1074</v>
      </c>
      <c r="F343" s="30" t="s">
        <v>314</v>
      </c>
      <c r="G343" s="31" t="s">
        <v>317</v>
      </c>
      <c r="H343" s="31" t="s">
        <v>317</v>
      </c>
      <c r="I343" s="31" t="s">
        <v>316</v>
      </c>
      <c r="J343" s="31" t="s">
        <v>316</v>
      </c>
      <c r="K343" s="31" t="s">
        <v>317</v>
      </c>
      <c r="L343" s="32" t="str">
        <f t="shared" si="25"/>
        <v>EXCLUDE</v>
      </c>
      <c r="M343" s="32" t="str">
        <f t="shared" si="26"/>
        <v>Wrong domain (non-AECO)</v>
      </c>
      <c r="N343" s="33"/>
      <c r="O343" s="33"/>
      <c r="P343" s="34"/>
      <c r="Q343" s="34"/>
      <c r="R343" s="34"/>
      <c r="S343" s="32" t="str">
        <f t="shared" si="27"/>
        <v/>
      </c>
      <c r="T343" s="32" t="str">
        <f t="shared" si="28"/>
        <v/>
      </c>
      <c r="U343" s="35"/>
      <c r="V343" s="35"/>
      <c r="W343" s="35"/>
      <c r="X343" s="35"/>
      <c r="Y343" s="32" t="str">
        <f t="shared" si="29"/>
        <v/>
      </c>
      <c r="Z343" s="35"/>
      <c r="AA343" s="35"/>
      <c r="AB343" s="35"/>
      <c r="AC343" s="35"/>
      <c r="AD343" s="35"/>
      <c r="AE343" s="35"/>
      <c r="AF343" s="35"/>
      <c r="AG343" s="15" t="s">
        <v>654</v>
      </c>
    </row>
    <row r="344" spans="1:33" ht="22.8" x14ac:dyDescent="0.3">
      <c r="A344" s="30">
        <v>4010</v>
      </c>
      <c r="B344" s="9" t="s">
        <v>280</v>
      </c>
      <c r="C344" s="36">
        <v>2024</v>
      </c>
      <c r="D344" s="9"/>
      <c r="E344" s="9" t="s">
        <v>1075</v>
      </c>
      <c r="F344" s="30" t="s">
        <v>315</v>
      </c>
      <c r="G344" s="31" t="s">
        <v>316</v>
      </c>
      <c r="H344" s="31" t="s">
        <v>316</v>
      </c>
      <c r="I344" s="31" t="s">
        <v>316</v>
      </c>
      <c r="J344" s="31" t="s">
        <v>316</v>
      </c>
      <c r="K344" s="31" t="s">
        <v>316</v>
      </c>
      <c r="L344" s="32" t="str">
        <f t="shared" si="25"/>
        <v>INCLUDE</v>
      </c>
      <c r="M344" s="32" t="str">
        <f t="shared" si="26"/>
        <v/>
      </c>
      <c r="N344" s="33" t="s">
        <v>58</v>
      </c>
      <c r="O344" s="33" t="s">
        <v>58</v>
      </c>
      <c r="P344" s="34"/>
      <c r="Q344" s="34"/>
      <c r="R344" s="34"/>
      <c r="S344" s="32" t="str">
        <f t="shared" si="27"/>
        <v/>
      </c>
      <c r="T344" s="32" t="str">
        <f t="shared" si="28"/>
        <v/>
      </c>
      <c r="U344" s="35"/>
      <c r="V344" s="35"/>
      <c r="W344" s="35"/>
      <c r="X344" s="35"/>
      <c r="Y344" s="32" t="str">
        <f t="shared" si="29"/>
        <v/>
      </c>
      <c r="Z344" s="35"/>
      <c r="AA344" s="35"/>
      <c r="AB344" s="35"/>
      <c r="AC344" s="35"/>
      <c r="AD344" s="35"/>
      <c r="AE344" s="35"/>
      <c r="AF344" s="35"/>
      <c r="AG344" s="15" t="s">
        <v>655</v>
      </c>
    </row>
    <row r="345" spans="1:33" ht="22.8" x14ac:dyDescent="0.3">
      <c r="A345" s="30">
        <v>4019</v>
      </c>
      <c r="B345" s="9"/>
      <c r="C345" s="36"/>
      <c r="D345" s="9"/>
      <c r="E345" s="9" t="s">
        <v>1076</v>
      </c>
      <c r="F345" s="30" t="s">
        <v>315</v>
      </c>
      <c r="G345" s="31" t="s">
        <v>316</v>
      </c>
      <c r="H345" s="31" t="s">
        <v>317</v>
      </c>
      <c r="I345" s="31" t="s">
        <v>316</v>
      </c>
      <c r="J345" s="31" t="s">
        <v>316</v>
      </c>
      <c r="K345" s="31" t="s">
        <v>316</v>
      </c>
      <c r="L345" s="32" t="str">
        <f t="shared" si="25"/>
        <v>EXCLUDE</v>
      </c>
      <c r="M345" s="32" t="str">
        <f t="shared" si="26"/>
        <v>Digital Twin not core / buzzword</v>
      </c>
      <c r="N345" s="33"/>
      <c r="O345" s="33"/>
      <c r="P345" s="34"/>
      <c r="Q345" s="34"/>
      <c r="R345" s="34"/>
      <c r="S345" s="32" t="str">
        <f t="shared" si="27"/>
        <v/>
      </c>
      <c r="T345" s="32" t="str">
        <f t="shared" si="28"/>
        <v/>
      </c>
      <c r="U345" s="35"/>
      <c r="V345" s="35"/>
      <c r="W345" s="35"/>
      <c r="X345" s="35"/>
      <c r="Y345" s="32" t="str">
        <f t="shared" si="29"/>
        <v/>
      </c>
      <c r="Z345" s="35"/>
      <c r="AA345" s="35"/>
      <c r="AB345" s="35"/>
      <c r="AC345" s="35"/>
      <c r="AD345" s="35"/>
      <c r="AE345" s="35"/>
      <c r="AF345" s="35"/>
      <c r="AG345" s="15" t="s">
        <v>656</v>
      </c>
    </row>
    <row r="346" spans="1:33" ht="22.8" x14ac:dyDescent="0.3">
      <c r="A346" s="30">
        <v>3762</v>
      </c>
      <c r="B346" s="9"/>
      <c r="C346" s="36"/>
      <c r="D346" s="9"/>
      <c r="E346" s="9" t="s">
        <v>1077</v>
      </c>
      <c r="F346" s="30" t="s">
        <v>314</v>
      </c>
      <c r="G346" s="31" t="s">
        <v>316</v>
      </c>
      <c r="H346" s="31" t="s">
        <v>317</v>
      </c>
      <c r="I346" s="31" t="s">
        <v>316</v>
      </c>
      <c r="J346" s="31" t="s">
        <v>316</v>
      </c>
      <c r="K346" s="31" t="s">
        <v>316</v>
      </c>
      <c r="L346" s="32" t="str">
        <f t="shared" si="25"/>
        <v>EXCLUDE</v>
      </c>
      <c r="M346" s="32" t="str">
        <f t="shared" si="26"/>
        <v>Digital Twin not core / buzzword</v>
      </c>
      <c r="N346" s="33"/>
      <c r="O346" s="33"/>
      <c r="P346" s="34"/>
      <c r="Q346" s="34"/>
      <c r="R346" s="34"/>
      <c r="S346" s="32" t="str">
        <f t="shared" si="27"/>
        <v/>
      </c>
      <c r="T346" s="32" t="str">
        <f t="shared" si="28"/>
        <v/>
      </c>
      <c r="U346" s="35"/>
      <c r="V346" s="35"/>
      <c r="W346" s="35"/>
      <c r="X346" s="35"/>
      <c r="Y346" s="32" t="str">
        <f t="shared" si="29"/>
        <v/>
      </c>
      <c r="Z346" s="35"/>
      <c r="AA346" s="35"/>
      <c r="AB346" s="35"/>
      <c r="AC346" s="35"/>
      <c r="AD346" s="35"/>
      <c r="AE346" s="35"/>
      <c r="AF346" s="35"/>
      <c r="AG346" s="15" t="s">
        <v>657</v>
      </c>
    </row>
    <row r="347" spans="1:33" x14ac:dyDescent="0.3">
      <c r="A347" s="30">
        <v>3562</v>
      </c>
      <c r="B347" s="9"/>
      <c r="C347" s="36"/>
      <c r="D347" s="9"/>
      <c r="E347" s="9" t="s">
        <v>1078</v>
      </c>
      <c r="F347" s="30" t="s">
        <v>314</v>
      </c>
      <c r="G347" s="31" t="s">
        <v>317</v>
      </c>
      <c r="H347" s="31" t="s">
        <v>316</v>
      </c>
      <c r="I347" s="31" t="s">
        <v>317</v>
      </c>
      <c r="J347" s="31" t="s">
        <v>316</v>
      </c>
      <c r="K347" s="31" t="s">
        <v>316</v>
      </c>
      <c r="L347" s="32" t="str">
        <f t="shared" si="25"/>
        <v>EXCLUDE</v>
      </c>
      <c r="M347" s="32" t="str">
        <f t="shared" si="26"/>
        <v>Wrong domain (non-AECO)</v>
      </c>
      <c r="N347" s="33"/>
      <c r="O347" s="33"/>
      <c r="P347" s="34"/>
      <c r="Q347" s="34"/>
      <c r="R347" s="34"/>
      <c r="S347" s="32" t="str">
        <f t="shared" si="27"/>
        <v/>
      </c>
      <c r="T347" s="32" t="str">
        <f t="shared" si="28"/>
        <v/>
      </c>
      <c r="U347" s="35"/>
      <c r="V347" s="35"/>
      <c r="W347" s="35"/>
      <c r="X347" s="35"/>
      <c r="Y347" s="32" t="str">
        <f t="shared" si="29"/>
        <v/>
      </c>
      <c r="Z347" s="35"/>
      <c r="AA347" s="35"/>
      <c r="AB347" s="35"/>
      <c r="AC347" s="35"/>
      <c r="AD347" s="35"/>
      <c r="AE347" s="35"/>
      <c r="AF347" s="35"/>
      <c r="AG347" s="15" t="s">
        <v>658</v>
      </c>
    </row>
    <row r="348" spans="1:33" ht="114" x14ac:dyDescent="0.3">
      <c r="A348" s="30">
        <v>3985</v>
      </c>
      <c r="B348" s="9" t="s">
        <v>281</v>
      </c>
      <c r="C348" s="36">
        <v>2021</v>
      </c>
      <c r="D348" s="9"/>
      <c r="E348" s="9" t="s">
        <v>1079</v>
      </c>
      <c r="F348" s="30" t="s">
        <v>315</v>
      </c>
      <c r="G348" s="31" t="s">
        <v>316</v>
      </c>
      <c r="H348" s="31" t="s">
        <v>316</v>
      </c>
      <c r="I348" s="31" t="s">
        <v>316</v>
      </c>
      <c r="J348" s="31" t="s">
        <v>316</v>
      </c>
      <c r="K348" s="31" t="s">
        <v>316</v>
      </c>
      <c r="L348" s="32" t="str">
        <f t="shared" si="25"/>
        <v>INCLUDE</v>
      </c>
      <c r="M348" s="32" t="str">
        <f t="shared" si="26"/>
        <v/>
      </c>
      <c r="N348" s="33" t="s">
        <v>49</v>
      </c>
      <c r="O348" s="33" t="s">
        <v>49</v>
      </c>
      <c r="P348" s="34" t="s">
        <v>49</v>
      </c>
      <c r="Q348" s="34" t="s">
        <v>49</v>
      </c>
      <c r="R348" s="34" t="s">
        <v>49</v>
      </c>
      <c r="S348" s="32" t="str">
        <f t="shared" si="27"/>
        <v>INCLUDE</v>
      </c>
      <c r="T348" s="32" t="str">
        <f t="shared" si="28"/>
        <v/>
      </c>
      <c r="U348" s="35" t="s">
        <v>68</v>
      </c>
      <c r="V348" s="35">
        <v>0</v>
      </c>
      <c r="W348" s="35">
        <v>1</v>
      </c>
      <c r="X348" s="35">
        <v>0</v>
      </c>
      <c r="Y348" s="32" t="str">
        <f t="shared" si="29"/>
        <v>Single</v>
      </c>
      <c r="Z348" s="35" t="s">
        <v>9</v>
      </c>
      <c r="AA348" s="35" t="s">
        <v>53</v>
      </c>
      <c r="AB348" s="35" t="s">
        <v>92</v>
      </c>
      <c r="AC348" s="35" t="s">
        <v>64</v>
      </c>
      <c r="AD348" s="35" t="s">
        <v>72</v>
      </c>
      <c r="AE348" s="35">
        <v>4</v>
      </c>
      <c r="AF348" s="35" t="s">
        <v>80</v>
      </c>
      <c r="AG348" s="15" t="s">
        <v>659</v>
      </c>
    </row>
    <row r="349" spans="1:33" ht="22.8" x14ac:dyDescent="0.3">
      <c r="A349" s="30">
        <v>3763</v>
      </c>
      <c r="B349" s="9"/>
      <c r="C349" s="36"/>
      <c r="D349" s="9"/>
      <c r="E349" s="9" t="s">
        <v>1080</v>
      </c>
      <c r="F349" s="30" t="s">
        <v>314</v>
      </c>
      <c r="G349" s="31" t="s">
        <v>317</v>
      </c>
      <c r="H349" s="31" t="s">
        <v>316</v>
      </c>
      <c r="I349" s="31" t="s">
        <v>316</v>
      </c>
      <c r="J349" s="31" t="s">
        <v>316</v>
      </c>
      <c r="K349" s="31" t="s">
        <v>316</v>
      </c>
      <c r="L349" s="32" t="str">
        <f t="shared" si="25"/>
        <v>EXCLUDE</v>
      </c>
      <c r="M349" s="32" t="str">
        <f t="shared" si="26"/>
        <v>Wrong domain (non-AECO)</v>
      </c>
      <c r="N349" s="33"/>
      <c r="O349" s="33"/>
      <c r="P349" s="34"/>
      <c r="Q349" s="34"/>
      <c r="R349" s="34"/>
      <c r="S349" s="32" t="str">
        <f t="shared" si="27"/>
        <v/>
      </c>
      <c r="T349" s="32" t="str">
        <f t="shared" si="28"/>
        <v/>
      </c>
      <c r="U349" s="35"/>
      <c r="V349" s="35"/>
      <c r="W349" s="35"/>
      <c r="X349" s="35"/>
      <c r="Y349" s="32" t="str">
        <f t="shared" si="29"/>
        <v/>
      </c>
      <c r="Z349" s="35"/>
      <c r="AA349" s="35"/>
      <c r="AB349" s="35"/>
      <c r="AC349" s="35"/>
      <c r="AD349" s="35"/>
      <c r="AE349" s="35"/>
      <c r="AF349" s="35"/>
      <c r="AG349" s="15" t="s">
        <v>660</v>
      </c>
    </row>
    <row r="350" spans="1:33" ht="22.8" x14ac:dyDescent="0.3">
      <c r="A350" s="30">
        <v>3779</v>
      </c>
      <c r="B350" s="9" t="s">
        <v>280</v>
      </c>
      <c r="C350" s="36">
        <v>2024</v>
      </c>
      <c r="D350" s="9"/>
      <c r="E350" s="9" t="s">
        <v>1081</v>
      </c>
      <c r="F350" s="30" t="s">
        <v>314</v>
      </c>
      <c r="G350" s="31" t="s">
        <v>316</v>
      </c>
      <c r="H350" s="31" t="s">
        <v>316</v>
      </c>
      <c r="I350" s="31" t="s">
        <v>316</v>
      </c>
      <c r="J350" s="31" t="s">
        <v>316</v>
      </c>
      <c r="K350" s="31" t="s">
        <v>316</v>
      </c>
      <c r="L350" s="32" t="str">
        <f t="shared" si="25"/>
        <v>INCLUDE</v>
      </c>
      <c r="M350" s="32" t="str">
        <f t="shared" si="26"/>
        <v/>
      </c>
      <c r="N350" s="33" t="s">
        <v>58</v>
      </c>
      <c r="O350" s="33" t="s">
        <v>58</v>
      </c>
      <c r="P350" s="34"/>
      <c r="Q350" s="34"/>
      <c r="R350" s="34"/>
      <c r="S350" s="32" t="str">
        <f t="shared" si="27"/>
        <v/>
      </c>
      <c r="T350" s="32" t="str">
        <f t="shared" si="28"/>
        <v/>
      </c>
      <c r="U350" s="35"/>
      <c r="V350" s="35"/>
      <c r="W350" s="35"/>
      <c r="X350" s="35"/>
      <c r="Y350" s="32" t="str">
        <f t="shared" si="29"/>
        <v/>
      </c>
      <c r="Z350" s="35"/>
      <c r="AA350" s="35"/>
      <c r="AB350" s="35"/>
      <c r="AC350" s="35"/>
      <c r="AD350" s="35"/>
      <c r="AE350" s="35"/>
      <c r="AF350" s="35"/>
      <c r="AG350" s="15" t="s">
        <v>661</v>
      </c>
    </row>
    <row r="351" spans="1:33" ht="22.8" x14ac:dyDescent="0.3">
      <c r="A351" s="30">
        <v>3718</v>
      </c>
      <c r="B351" s="9"/>
      <c r="C351" s="36"/>
      <c r="D351" s="9"/>
      <c r="E351" s="9" t="s">
        <v>1082</v>
      </c>
      <c r="F351" s="30" t="s">
        <v>314</v>
      </c>
      <c r="G351" s="31" t="s">
        <v>317</v>
      </c>
      <c r="H351" s="31" t="s">
        <v>316</v>
      </c>
      <c r="I351" s="31" t="s">
        <v>317</v>
      </c>
      <c r="J351" s="31" t="s">
        <v>316</v>
      </c>
      <c r="K351" s="31" t="s">
        <v>316</v>
      </c>
      <c r="L351" s="32" t="str">
        <f t="shared" si="25"/>
        <v>EXCLUDE</v>
      </c>
      <c r="M351" s="32" t="str">
        <f t="shared" si="26"/>
        <v>Wrong domain (non-AECO)</v>
      </c>
      <c r="N351" s="33"/>
      <c r="O351" s="33"/>
      <c r="P351" s="34"/>
      <c r="Q351" s="34"/>
      <c r="R351" s="34"/>
      <c r="S351" s="32" t="str">
        <f t="shared" si="27"/>
        <v/>
      </c>
      <c r="T351" s="32" t="str">
        <f t="shared" si="28"/>
        <v/>
      </c>
      <c r="U351" s="35"/>
      <c r="V351" s="35"/>
      <c r="W351" s="35"/>
      <c r="X351" s="35"/>
      <c r="Y351" s="32" t="str">
        <f t="shared" si="29"/>
        <v/>
      </c>
      <c r="Z351" s="35"/>
      <c r="AA351" s="35"/>
      <c r="AB351" s="35"/>
      <c r="AC351" s="35"/>
      <c r="AD351" s="35"/>
      <c r="AE351" s="35"/>
      <c r="AF351" s="35"/>
      <c r="AG351" s="15" t="s">
        <v>662</v>
      </c>
    </row>
    <row r="352" spans="1:33" ht="22.8" x14ac:dyDescent="0.3">
      <c r="A352" s="30">
        <v>3783</v>
      </c>
      <c r="B352" s="9"/>
      <c r="C352" s="36"/>
      <c r="D352" s="9"/>
      <c r="E352" s="9" t="s">
        <v>1083</v>
      </c>
      <c r="F352" s="30" t="s">
        <v>314</v>
      </c>
      <c r="G352" s="31" t="s">
        <v>317</v>
      </c>
      <c r="H352" s="31" t="s">
        <v>316</v>
      </c>
      <c r="I352" s="31" t="s">
        <v>316</v>
      </c>
      <c r="J352" s="31" t="s">
        <v>316</v>
      </c>
      <c r="K352" s="31" t="s">
        <v>317</v>
      </c>
      <c r="L352" s="32" t="str">
        <f t="shared" si="25"/>
        <v>EXCLUDE</v>
      </c>
      <c r="M352" s="32" t="str">
        <f t="shared" si="26"/>
        <v>Wrong domain (non-AECO)</v>
      </c>
      <c r="N352" s="33"/>
      <c r="O352" s="33"/>
      <c r="P352" s="34"/>
      <c r="Q352" s="34"/>
      <c r="R352" s="34"/>
      <c r="S352" s="32" t="str">
        <f t="shared" si="27"/>
        <v/>
      </c>
      <c r="T352" s="32" t="str">
        <f t="shared" si="28"/>
        <v/>
      </c>
      <c r="U352" s="35"/>
      <c r="V352" s="35"/>
      <c r="W352" s="35"/>
      <c r="X352" s="35"/>
      <c r="Y352" s="32" t="str">
        <f t="shared" si="29"/>
        <v/>
      </c>
      <c r="Z352" s="35"/>
      <c r="AA352" s="35"/>
      <c r="AB352" s="35"/>
      <c r="AC352" s="35"/>
      <c r="AD352" s="35"/>
      <c r="AE352" s="35"/>
      <c r="AF352" s="35"/>
      <c r="AG352" s="15" t="s">
        <v>663</v>
      </c>
    </row>
    <row r="353" spans="1:33" ht="22.8" x14ac:dyDescent="0.3">
      <c r="A353" s="30">
        <v>3895</v>
      </c>
      <c r="B353" s="9"/>
      <c r="C353" s="36"/>
      <c r="D353" s="9"/>
      <c r="E353" s="9" t="s">
        <v>1084</v>
      </c>
      <c r="F353" s="30" t="s">
        <v>315</v>
      </c>
      <c r="G353" s="31" t="s">
        <v>316</v>
      </c>
      <c r="H353" s="31" t="s">
        <v>317</v>
      </c>
      <c r="I353" s="31" t="s">
        <v>317</v>
      </c>
      <c r="J353" s="31" t="s">
        <v>316</v>
      </c>
      <c r="K353" s="31" t="s">
        <v>316</v>
      </c>
      <c r="L353" s="32" t="str">
        <f t="shared" si="25"/>
        <v>EXCLUDE</v>
      </c>
      <c r="M353" s="32" t="str">
        <f t="shared" si="26"/>
        <v>Digital Twin not core / buzzword</v>
      </c>
      <c r="N353" s="33"/>
      <c r="O353" s="33"/>
      <c r="P353" s="34"/>
      <c r="Q353" s="34"/>
      <c r="R353" s="34"/>
      <c r="S353" s="32" t="str">
        <f t="shared" si="27"/>
        <v/>
      </c>
      <c r="T353" s="32" t="str">
        <f t="shared" si="28"/>
        <v/>
      </c>
      <c r="U353" s="35"/>
      <c r="V353" s="35"/>
      <c r="W353" s="35"/>
      <c r="X353" s="35"/>
      <c r="Y353" s="32" t="str">
        <f t="shared" si="29"/>
        <v/>
      </c>
      <c r="Z353" s="35"/>
      <c r="AA353" s="35"/>
      <c r="AB353" s="35"/>
      <c r="AC353" s="35"/>
      <c r="AD353" s="35"/>
      <c r="AE353" s="35"/>
      <c r="AF353" s="35"/>
      <c r="AG353" s="15" t="s">
        <v>664</v>
      </c>
    </row>
    <row r="354" spans="1:33" ht="22.8" x14ac:dyDescent="0.3">
      <c r="A354" s="30">
        <v>3590</v>
      </c>
      <c r="B354" s="9"/>
      <c r="C354" s="36"/>
      <c r="D354" s="9"/>
      <c r="E354" s="9" t="s">
        <v>1085</v>
      </c>
      <c r="F354" s="30" t="s">
        <v>314</v>
      </c>
      <c r="G354" s="31" t="s">
        <v>316</v>
      </c>
      <c r="H354" s="31" t="s">
        <v>316</v>
      </c>
      <c r="I354" s="31" t="s">
        <v>316</v>
      </c>
      <c r="J354" s="31" t="s">
        <v>316</v>
      </c>
      <c r="K354" s="31" t="s">
        <v>317</v>
      </c>
      <c r="L354" s="32" t="str">
        <f t="shared" si="25"/>
        <v>EXCLUDE</v>
      </c>
      <c r="M354" s="32" t="str">
        <f t="shared" si="26"/>
        <v>Non-English</v>
      </c>
      <c r="N354" s="33"/>
      <c r="O354" s="33"/>
      <c r="P354" s="34"/>
      <c r="Q354" s="34"/>
      <c r="R354" s="34"/>
      <c r="S354" s="32" t="str">
        <f t="shared" si="27"/>
        <v/>
      </c>
      <c r="T354" s="32" t="str">
        <f t="shared" si="28"/>
        <v/>
      </c>
      <c r="U354" s="35"/>
      <c r="V354" s="35"/>
      <c r="W354" s="35"/>
      <c r="X354" s="35"/>
      <c r="Y354" s="32" t="str">
        <f t="shared" si="29"/>
        <v/>
      </c>
      <c r="Z354" s="35"/>
      <c r="AA354" s="35"/>
      <c r="AB354" s="35"/>
      <c r="AC354" s="35"/>
      <c r="AD354" s="35"/>
      <c r="AE354" s="35"/>
      <c r="AF354" s="35"/>
      <c r="AG354" s="15" t="s">
        <v>386</v>
      </c>
    </row>
    <row r="355" spans="1:33" ht="102.6" x14ac:dyDescent="0.3">
      <c r="A355" s="30">
        <v>3891</v>
      </c>
      <c r="B355" s="9" t="s">
        <v>282</v>
      </c>
      <c r="C355" s="36">
        <v>2025</v>
      </c>
      <c r="D355" s="9"/>
      <c r="E355" s="9" t="s">
        <v>1086</v>
      </c>
      <c r="F355" s="30" t="s">
        <v>315</v>
      </c>
      <c r="G355" s="31" t="s">
        <v>316</v>
      </c>
      <c r="H355" s="31" t="s">
        <v>316</v>
      </c>
      <c r="I355" s="31" t="s">
        <v>316</v>
      </c>
      <c r="J355" s="31" t="s">
        <v>316</v>
      </c>
      <c r="K355" s="31" t="s">
        <v>316</v>
      </c>
      <c r="L355" s="32" t="str">
        <f t="shared" si="25"/>
        <v>INCLUDE</v>
      </c>
      <c r="M355" s="32" t="str">
        <f t="shared" si="26"/>
        <v/>
      </c>
      <c r="N355" s="33" t="s">
        <v>49</v>
      </c>
      <c r="O355" s="33" t="s">
        <v>49</v>
      </c>
      <c r="P355" s="34" t="s">
        <v>49</v>
      </c>
      <c r="Q355" s="34" t="s">
        <v>49</v>
      </c>
      <c r="R355" s="34" t="s">
        <v>49</v>
      </c>
      <c r="S355" s="32" t="str">
        <f t="shared" si="27"/>
        <v>INCLUDE</v>
      </c>
      <c r="T355" s="32" t="str">
        <f t="shared" si="28"/>
        <v/>
      </c>
      <c r="U355" s="35" t="s">
        <v>82</v>
      </c>
      <c r="V355" s="35">
        <v>0</v>
      </c>
      <c r="W355" s="35">
        <v>1</v>
      </c>
      <c r="X355" s="35">
        <v>0</v>
      </c>
      <c r="Y355" s="32" t="str">
        <f t="shared" si="29"/>
        <v>Single</v>
      </c>
      <c r="Z355" s="35" t="s">
        <v>9</v>
      </c>
      <c r="AA355" s="35" t="s">
        <v>53</v>
      </c>
      <c r="AB355" s="35" t="s">
        <v>91</v>
      </c>
      <c r="AC355" s="35" t="s">
        <v>64</v>
      </c>
      <c r="AD355" s="35" t="s">
        <v>56</v>
      </c>
      <c r="AE355" s="35">
        <v>2</v>
      </c>
      <c r="AF355" s="35" t="s">
        <v>57</v>
      </c>
      <c r="AG355" s="15" t="s">
        <v>665</v>
      </c>
    </row>
    <row r="356" spans="1:33" ht="22.8" x14ac:dyDescent="0.3">
      <c r="A356" s="30">
        <v>3806</v>
      </c>
      <c r="B356" s="9"/>
      <c r="C356" s="36"/>
      <c r="D356" s="9"/>
      <c r="E356" s="9" t="s">
        <v>1087</v>
      </c>
      <c r="F356" s="30" t="s">
        <v>314</v>
      </c>
      <c r="G356" s="31" t="s">
        <v>316</v>
      </c>
      <c r="H356" s="31" t="s">
        <v>317</v>
      </c>
      <c r="I356" s="31" t="s">
        <v>317</v>
      </c>
      <c r="J356" s="31" t="s">
        <v>316</v>
      </c>
      <c r="K356" s="31" t="s">
        <v>316</v>
      </c>
      <c r="L356" s="32" t="str">
        <f t="shared" si="25"/>
        <v>EXCLUDE</v>
      </c>
      <c r="M356" s="32" t="str">
        <f t="shared" si="26"/>
        <v>Digital Twin not core / buzzword</v>
      </c>
      <c r="N356" s="33"/>
      <c r="O356" s="33"/>
      <c r="P356" s="34"/>
      <c r="Q356" s="34"/>
      <c r="R356" s="34"/>
      <c r="S356" s="32" t="str">
        <f t="shared" si="27"/>
        <v/>
      </c>
      <c r="T356" s="32" t="str">
        <f t="shared" si="28"/>
        <v/>
      </c>
      <c r="U356" s="35"/>
      <c r="V356" s="35"/>
      <c r="W356" s="35"/>
      <c r="X356" s="35"/>
      <c r="Y356" s="32" t="str">
        <f t="shared" si="29"/>
        <v/>
      </c>
      <c r="Z356" s="35"/>
      <c r="AA356" s="35"/>
      <c r="AB356" s="35"/>
      <c r="AC356" s="35"/>
      <c r="AD356" s="35"/>
      <c r="AE356" s="35"/>
      <c r="AF356" s="35"/>
      <c r="AG356" s="15" t="s">
        <v>666</v>
      </c>
    </row>
    <row r="357" spans="1:33" ht="22.8" x14ac:dyDescent="0.3">
      <c r="A357" s="30">
        <v>4025</v>
      </c>
      <c r="B357" s="9"/>
      <c r="C357" s="36"/>
      <c r="D357" s="9"/>
      <c r="E357" s="9" t="s">
        <v>1088</v>
      </c>
      <c r="F357" s="30" t="s">
        <v>315</v>
      </c>
      <c r="G357" s="31" t="s">
        <v>316</v>
      </c>
      <c r="H357" s="31" t="s">
        <v>317</v>
      </c>
      <c r="I357" s="31" t="s">
        <v>316</v>
      </c>
      <c r="J357" s="31" t="s">
        <v>316</v>
      </c>
      <c r="K357" s="31" t="s">
        <v>316</v>
      </c>
      <c r="L357" s="32" t="str">
        <f t="shared" si="25"/>
        <v>EXCLUDE</v>
      </c>
      <c r="M357" s="32" t="str">
        <f t="shared" si="26"/>
        <v>Digital Twin not core / buzzword</v>
      </c>
      <c r="N357" s="33"/>
      <c r="O357" s="33"/>
      <c r="P357" s="34"/>
      <c r="Q357" s="34"/>
      <c r="R357" s="34"/>
      <c r="S357" s="32" t="str">
        <f t="shared" si="27"/>
        <v/>
      </c>
      <c r="T357" s="32" t="str">
        <f t="shared" si="28"/>
        <v/>
      </c>
      <c r="U357" s="35"/>
      <c r="V357" s="35"/>
      <c r="W357" s="35"/>
      <c r="X357" s="35"/>
      <c r="Y357" s="32" t="str">
        <f t="shared" si="29"/>
        <v/>
      </c>
      <c r="Z357" s="35"/>
      <c r="AA357" s="35"/>
      <c r="AB357" s="35"/>
      <c r="AC357" s="35"/>
      <c r="AD357" s="35"/>
      <c r="AE357" s="35"/>
      <c r="AF357" s="35"/>
      <c r="AG357" s="15" t="s">
        <v>667</v>
      </c>
    </row>
    <row r="358" spans="1:33" ht="22.8" x14ac:dyDescent="0.3">
      <c r="A358" s="30">
        <v>3960</v>
      </c>
      <c r="B358" s="9" t="s">
        <v>283</v>
      </c>
      <c r="C358" s="36">
        <v>2022</v>
      </c>
      <c r="D358" s="9"/>
      <c r="E358" s="9" t="s">
        <v>1089</v>
      </c>
      <c r="F358" s="30" t="s">
        <v>315</v>
      </c>
      <c r="G358" s="31" t="s">
        <v>316</v>
      </c>
      <c r="H358" s="31" t="s">
        <v>316</v>
      </c>
      <c r="I358" s="31" t="s">
        <v>316</v>
      </c>
      <c r="J358" s="31" t="s">
        <v>316</v>
      </c>
      <c r="K358" s="31" t="s">
        <v>316</v>
      </c>
      <c r="L358" s="32" t="str">
        <f t="shared" si="25"/>
        <v>INCLUDE</v>
      </c>
      <c r="M358" s="32" t="str">
        <f t="shared" si="26"/>
        <v/>
      </c>
      <c r="N358" s="33" t="s">
        <v>58</v>
      </c>
      <c r="O358" s="33" t="s">
        <v>58</v>
      </c>
      <c r="P358" s="34"/>
      <c r="Q358" s="34"/>
      <c r="R358" s="34"/>
      <c r="S358" s="32" t="str">
        <f t="shared" si="27"/>
        <v/>
      </c>
      <c r="T358" s="32" t="str">
        <f t="shared" si="28"/>
        <v/>
      </c>
      <c r="U358" s="35"/>
      <c r="V358" s="35"/>
      <c r="W358" s="35"/>
      <c r="X358" s="35"/>
      <c r="Y358" s="32" t="str">
        <f t="shared" si="29"/>
        <v/>
      </c>
      <c r="Z358" s="35"/>
      <c r="AA358" s="35"/>
      <c r="AB358" s="35"/>
      <c r="AC358" s="35"/>
      <c r="AD358" s="35"/>
      <c r="AE358" s="35"/>
      <c r="AF358" s="35"/>
      <c r="AG358" s="15" t="s">
        <v>668</v>
      </c>
    </row>
    <row r="359" spans="1:33" ht="22.8" x14ac:dyDescent="0.3">
      <c r="A359" s="30">
        <v>3988</v>
      </c>
      <c r="B359" s="9" t="s">
        <v>284</v>
      </c>
      <c r="C359" s="36">
        <v>2026</v>
      </c>
      <c r="D359" s="9"/>
      <c r="E359" s="9" t="s">
        <v>1090</v>
      </c>
      <c r="F359" s="30" t="s">
        <v>315</v>
      </c>
      <c r="G359" s="31" t="s">
        <v>316</v>
      </c>
      <c r="H359" s="31" t="s">
        <v>316</v>
      </c>
      <c r="I359" s="31" t="s">
        <v>316</v>
      </c>
      <c r="J359" s="31" t="s">
        <v>316</v>
      </c>
      <c r="K359" s="31" t="s">
        <v>316</v>
      </c>
      <c r="L359" s="32" t="str">
        <f t="shared" si="25"/>
        <v>INCLUDE</v>
      </c>
      <c r="M359" s="32" t="str">
        <f t="shared" si="26"/>
        <v/>
      </c>
      <c r="N359" s="33" t="s">
        <v>58</v>
      </c>
      <c r="O359" s="33" t="s">
        <v>58</v>
      </c>
      <c r="P359" s="34"/>
      <c r="Q359" s="34"/>
      <c r="R359" s="34"/>
      <c r="S359" s="32" t="str">
        <f t="shared" si="27"/>
        <v/>
      </c>
      <c r="T359" s="32" t="str">
        <f t="shared" si="28"/>
        <v/>
      </c>
      <c r="U359" s="35"/>
      <c r="V359" s="35"/>
      <c r="W359" s="35"/>
      <c r="X359" s="35"/>
      <c r="Y359" s="32" t="str">
        <f t="shared" si="29"/>
        <v/>
      </c>
      <c r="Z359" s="35"/>
      <c r="AA359" s="35"/>
      <c r="AB359" s="35"/>
      <c r="AC359" s="35"/>
      <c r="AD359" s="35"/>
      <c r="AE359" s="35"/>
      <c r="AF359" s="35"/>
      <c r="AG359" s="15" t="s">
        <v>669</v>
      </c>
    </row>
    <row r="360" spans="1:33" ht="22.8" x14ac:dyDescent="0.3">
      <c r="A360" s="30">
        <v>3981</v>
      </c>
      <c r="B360" s="9" t="s">
        <v>285</v>
      </c>
      <c r="C360" s="36">
        <v>2024</v>
      </c>
      <c r="D360" s="9"/>
      <c r="E360" s="9" t="s">
        <v>1091</v>
      </c>
      <c r="F360" s="30" t="s">
        <v>315</v>
      </c>
      <c r="G360" s="31" t="s">
        <v>316</v>
      </c>
      <c r="H360" s="31" t="s">
        <v>316</v>
      </c>
      <c r="I360" s="31" t="s">
        <v>316</v>
      </c>
      <c r="J360" s="31" t="s">
        <v>316</v>
      </c>
      <c r="K360" s="31" t="s">
        <v>316</v>
      </c>
      <c r="L360" s="32" t="str">
        <f t="shared" si="25"/>
        <v>INCLUDE</v>
      </c>
      <c r="M360" s="32" t="str">
        <f t="shared" si="26"/>
        <v/>
      </c>
      <c r="N360" s="33" t="s">
        <v>58</v>
      </c>
      <c r="O360" s="33" t="s">
        <v>58</v>
      </c>
      <c r="P360" s="34"/>
      <c r="Q360" s="34"/>
      <c r="R360" s="34"/>
      <c r="S360" s="32" t="str">
        <f t="shared" si="27"/>
        <v/>
      </c>
      <c r="T360" s="32" t="str">
        <f t="shared" si="28"/>
        <v/>
      </c>
      <c r="U360" s="35"/>
      <c r="V360" s="35"/>
      <c r="W360" s="35"/>
      <c r="X360" s="35"/>
      <c r="Y360" s="32" t="str">
        <f t="shared" si="29"/>
        <v/>
      </c>
      <c r="Z360" s="35"/>
      <c r="AA360" s="35"/>
      <c r="AB360" s="35"/>
      <c r="AC360" s="35"/>
      <c r="AD360" s="35"/>
      <c r="AE360" s="35"/>
      <c r="AF360" s="35"/>
      <c r="AG360" s="15" t="s">
        <v>670</v>
      </c>
    </row>
    <row r="361" spans="1:33" ht="22.8" x14ac:dyDescent="0.3">
      <c r="A361" s="30">
        <v>3656</v>
      </c>
      <c r="B361" s="9" t="s">
        <v>283</v>
      </c>
      <c r="C361" s="36">
        <v>2022</v>
      </c>
      <c r="D361" s="9"/>
      <c r="E361" s="9" t="s">
        <v>1092</v>
      </c>
      <c r="F361" s="30" t="s">
        <v>314</v>
      </c>
      <c r="G361" s="31" t="s">
        <v>316</v>
      </c>
      <c r="H361" s="31" t="s">
        <v>316</v>
      </c>
      <c r="I361" s="31" t="s">
        <v>316</v>
      </c>
      <c r="J361" s="31" t="s">
        <v>316</v>
      </c>
      <c r="K361" s="31" t="s">
        <v>316</v>
      </c>
      <c r="L361" s="32" t="str">
        <f t="shared" si="25"/>
        <v>INCLUDE</v>
      </c>
      <c r="M361" s="32" t="str">
        <f t="shared" si="26"/>
        <v/>
      </c>
      <c r="N361" s="33" t="s">
        <v>58</v>
      </c>
      <c r="O361" s="33" t="s">
        <v>58</v>
      </c>
      <c r="P361" s="34"/>
      <c r="Q361" s="34"/>
      <c r="R361" s="34"/>
      <c r="S361" s="32" t="str">
        <f t="shared" si="27"/>
        <v/>
      </c>
      <c r="T361" s="32" t="str">
        <f t="shared" si="28"/>
        <v/>
      </c>
      <c r="U361" s="35"/>
      <c r="V361" s="35"/>
      <c r="W361" s="35"/>
      <c r="X361" s="35"/>
      <c r="Y361" s="32" t="str">
        <f t="shared" si="29"/>
        <v/>
      </c>
      <c r="Z361" s="35"/>
      <c r="AA361" s="35"/>
      <c r="AB361" s="35"/>
      <c r="AC361" s="35"/>
      <c r="AD361" s="35"/>
      <c r="AE361" s="35"/>
      <c r="AF361" s="35"/>
      <c r="AG361" s="15" t="s">
        <v>671</v>
      </c>
    </row>
    <row r="362" spans="1:33" ht="102.6" x14ac:dyDescent="0.3">
      <c r="A362" s="30">
        <v>3530</v>
      </c>
      <c r="B362" s="9" t="s">
        <v>286</v>
      </c>
      <c r="C362" s="36">
        <v>2021</v>
      </c>
      <c r="D362" s="9"/>
      <c r="E362" s="9" t="s">
        <v>1093</v>
      </c>
      <c r="F362" s="30" t="s">
        <v>314</v>
      </c>
      <c r="G362" s="31" t="s">
        <v>316</v>
      </c>
      <c r="H362" s="31" t="s">
        <v>316</v>
      </c>
      <c r="I362" s="31" t="s">
        <v>316</v>
      </c>
      <c r="J362" s="31" t="s">
        <v>316</v>
      </c>
      <c r="K362" s="31" t="s">
        <v>316</v>
      </c>
      <c r="L362" s="32" t="str">
        <f t="shared" si="25"/>
        <v>INCLUDE</v>
      </c>
      <c r="M362" s="32" t="str">
        <f t="shared" si="26"/>
        <v/>
      </c>
      <c r="N362" s="33" t="s">
        <v>49</v>
      </c>
      <c r="O362" s="33" t="s">
        <v>49</v>
      </c>
      <c r="P362" s="34" t="s">
        <v>49</v>
      </c>
      <c r="Q362" s="34" t="s">
        <v>49</v>
      </c>
      <c r="R362" s="34" t="s">
        <v>49</v>
      </c>
      <c r="S362" s="32" t="str">
        <f t="shared" si="27"/>
        <v>INCLUDE</v>
      </c>
      <c r="T362" s="32" t="str">
        <f t="shared" si="28"/>
        <v/>
      </c>
      <c r="U362" s="35" t="s">
        <v>61</v>
      </c>
      <c r="V362" s="35">
        <v>0</v>
      </c>
      <c r="W362" s="35">
        <v>0</v>
      </c>
      <c r="X362" s="35">
        <v>1</v>
      </c>
      <c r="Y362" s="32" t="str">
        <f t="shared" si="29"/>
        <v>Single</v>
      </c>
      <c r="Z362" s="35" t="s">
        <v>9</v>
      </c>
      <c r="AA362" s="35" t="s">
        <v>62</v>
      </c>
      <c r="AB362" s="35" t="s">
        <v>73</v>
      </c>
      <c r="AC362" s="35" t="s">
        <v>64</v>
      </c>
      <c r="AD362" s="35" t="s">
        <v>72</v>
      </c>
      <c r="AE362" s="35">
        <v>4</v>
      </c>
      <c r="AF362" s="35" t="s">
        <v>84</v>
      </c>
      <c r="AG362" s="15" t="s">
        <v>672</v>
      </c>
    </row>
    <row r="363" spans="1:33" ht="22.8" x14ac:dyDescent="0.3">
      <c r="A363" s="30">
        <v>3843</v>
      </c>
      <c r="B363" s="9"/>
      <c r="C363" s="36"/>
      <c r="D363" s="9"/>
      <c r="E363" s="9" t="s">
        <v>1094</v>
      </c>
      <c r="F363" s="30" t="s">
        <v>314</v>
      </c>
      <c r="G363" s="31" t="s">
        <v>317</v>
      </c>
      <c r="H363" s="31" t="s">
        <v>316</v>
      </c>
      <c r="I363" s="31" t="s">
        <v>316</v>
      </c>
      <c r="J363" s="31" t="s">
        <v>316</v>
      </c>
      <c r="K363" s="31" t="s">
        <v>316</v>
      </c>
      <c r="L363" s="32" t="str">
        <f t="shared" si="25"/>
        <v>EXCLUDE</v>
      </c>
      <c r="M363" s="32" t="str">
        <f t="shared" si="26"/>
        <v>Wrong domain (non-AECO)</v>
      </c>
      <c r="N363" s="33"/>
      <c r="O363" s="33"/>
      <c r="P363" s="34"/>
      <c r="Q363" s="34"/>
      <c r="R363" s="34"/>
      <c r="S363" s="32" t="str">
        <f t="shared" si="27"/>
        <v/>
      </c>
      <c r="T363" s="32" t="str">
        <f t="shared" si="28"/>
        <v/>
      </c>
      <c r="U363" s="35"/>
      <c r="V363" s="35"/>
      <c r="W363" s="35"/>
      <c r="X363" s="35"/>
      <c r="Y363" s="32" t="str">
        <f t="shared" si="29"/>
        <v/>
      </c>
      <c r="Z363" s="35"/>
      <c r="AA363" s="35"/>
      <c r="AB363" s="35"/>
      <c r="AC363" s="35"/>
      <c r="AD363" s="35"/>
      <c r="AE363" s="35"/>
      <c r="AF363" s="35"/>
      <c r="AG363" s="15" t="s">
        <v>673</v>
      </c>
    </row>
    <row r="364" spans="1:33" ht="22.8" x14ac:dyDescent="0.3">
      <c r="A364" s="30">
        <v>3502</v>
      </c>
      <c r="B364" s="9"/>
      <c r="C364" s="36"/>
      <c r="D364" s="9"/>
      <c r="E364" s="9" t="s">
        <v>1095</v>
      </c>
      <c r="F364" s="30" t="s">
        <v>314</v>
      </c>
      <c r="G364" s="31" t="s">
        <v>317</v>
      </c>
      <c r="H364" s="31" t="s">
        <v>316</v>
      </c>
      <c r="I364" s="31" t="s">
        <v>316</v>
      </c>
      <c r="J364" s="31" t="s">
        <v>316</v>
      </c>
      <c r="K364" s="31" t="s">
        <v>316</v>
      </c>
      <c r="L364" s="32" t="str">
        <f t="shared" si="25"/>
        <v>EXCLUDE</v>
      </c>
      <c r="M364" s="32" t="str">
        <f t="shared" si="26"/>
        <v>Wrong domain (non-AECO)</v>
      </c>
      <c r="N364" s="33"/>
      <c r="O364" s="33"/>
      <c r="P364" s="34"/>
      <c r="Q364" s="34"/>
      <c r="R364" s="34"/>
      <c r="S364" s="32" t="str">
        <f t="shared" si="27"/>
        <v/>
      </c>
      <c r="T364" s="32" t="str">
        <f t="shared" si="28"/>
        <v/>
      </c>
      <c r="U364" s="35"/>
      <c r="V364" s="35"/>
      <c r="W364" s="35"/>
      <c r="X364" s="35"/>
      <c r="Y364" s="32" t="str">
        <f t="shared" si="29"/>
        <v/>
      </c>
      <c r="Z364" s="35"/>
      <c r="AA364" s="35"/>
      <c r="AB364" s="35"/>
      <c r="AC364" s="35"/>
      <c r="AD364" s="35"/>
      <c r="AE364" s="35"/>
      <c r="AF364" s="35"/>
      <c r="AG364" s="15" t="s">
        <v>674</v>
      </c>
    </row>
    <row r="365" spans="1:33" ht="22.8" x14ac:dyDescent="0.3">
      <c r="A365" s="30">
        <v>3856</v>
      </c>
      <c r="B365" s="9"/>
      <c r="C365" s="36"/>
      <c r="D365" s="9"/>
      <c r="E365" s="9" t="s">
        <v>1096</v>
      </c>
      <c r="F365" s="30" t="s">
        <v>314</v>
      </c>
      <c r="G365" s="31" t="s">
        <v>317</v>
      </c>
      <c r="H365" s="31" t="s">
        <v>316</v>
      </c>
      <c r="I365" s="31" t="s">
        <v>316</v>
      </c>
      <c r="J365" s="31" t="s">
        <v>316</v>
      </c>
      <c r="K365" s="31" t="s">
        <v>316</v>
      </c>
      <c r="L365" s="32" t="str">
        <f t="shared" si="25"/>
        <v>EXCLUDE</v>
      </c>
      <c r="M365" s="32" t="str">
        <f t="shared" si="26"/>
        <v>Wrong domain (non-AECO)</v>
      </c>
      <c r="N365" s="33"/>
      <c r="O365" s="33"/>
      <c r="P365" s="34"/>
      <c r="Q365" s="34"/>
      <c r="R365" s="34"/>
      <c r="S365" s="32" t="str">
        <f t="shared" si="27"/>
        <v/>
      </c>
      <c r="T365" s="32" t="str">
        <f t="shared" si="28"/>
        <v/>
      </c>
      <c r="U365" s="35"/>
      <c r="V365" s="35"/>
      <c r="W365" s="35"/>
      <c r="X365" s="35"/>
      <c r="Y365" s="32" t="str">
        <f t="shared" si="29"/>
        <v/>
      </c>
      <c r="Z365" s="35"/>
      <c r="AA365" s="35"/>
      <c r="AB365" s="35"/>
      <c r="AC365" s="35"/>
      <c r="AD365" s="35"/>
      <c r="AE365" s="35"/>
      <c r="AF365" s="35"/>
      <c r="AG365" s="15" t="s">
        <v>675</v>
      </c>
    </row>
    <row r="366" spans="1:33" ht="22.8" x14ac:dyDescent="0.3">
      <c r="A366" s="30">
        <v>3719</v>
      </c>
      <c r="B366" s="9"/>
      <c r="C366" s="36"/>
      <c r="D366" s="9"/>
      <c r="E366" s="9" t="s">
        <v>1097</v>
      </c>
      <c r="F366" s="30" t="s">
        <v>314</v>
      </c>
      <c r="G366" s="31" t="s">
        <v>316</v>
      </c>
      <c r="H366" s="31" t="s">
        <v>316</v>
      </c>
      <c r="I366" s="31" t="s">
        <v>317</v>
      </c>
      <c r="J366" s="31" t="s">
        <v>316</v>
      </c>
      <c r="K366" s="31" t="s">
        <v>316</v>
      </c>
      <c r="L366" s="32" t="str">
        <f t="shared" si="25"/>
        <v>EXCLUDE</v>
      </c>
      <c r="M366" s="32" t="str">
        <f t="shared" si="26"/>
        <v>No Design for Safety/Quality/PtD</v>
      </c>
      <c r="N366" s="33"/>
      <c r="O366" s="33"/>
      <c r="P366" s="34"/>
      <c r="Q366" s="34"/>
      <c r="R366" s="34"/>
      <c r="S366" s="32" t="str">
        <f t="shared" si="27"/>
        <v/>
      </c>
      <c r="T366" s="32" t="str">
        <f t="shared" si="28"/>
        <v/>
      </c>
      <c r="U366" s="35"/>
      <c r="V366" s="35"/>
      <c r="W366" s="35"/>
      <c r="X366" s="35"/>
      <c r="Y366" s="32" t="str">
        <f t="shared" si="29"/>
        <v/>
      </c>
      <c r="Z366" s="35"/>
      <c r="AA366" s="35"/>
      <c r="AB366" s="35"/>
      <c r="AC366" s="35"/>
      <c r="AD366" s="35"/>
      <c r="AE366" s="35"/>
      <c r="AF366" s="35"/>
      <c r="AG366" s="15" t="s">
        <v>676</v>
      </c>
    </row>
    <row r="367" spans="1:33" ht="22.8" x14ac:dyDescent="0.3">
      <c r="A367" s="30">
        <v>3927</v>
      </c>
      <c r="B367" s="9" t="s">
        <v>287</v>
      </c>
      <c r="C367" s="36">
        <v>2025</v>
      </c>
      <c r="D367" s="9"/>
      <c r="E367" s="9" t="s">
        <v>1098</v>
      </c>
      <c r="F367" s="30" t="s">
        <v>315</v>
      </c>
      <c r="G367" s="31" t="s">
        <v>316</v>
      </c>
      <c r="H367" s="31" t="s">
        <v>316</v>
      </c>
      <c r="I367" s="31" t="s">
        <v>316</v>
      </c>
      <c r="J367" s="31" t="s">
        <v>316</v>
      </c>
      <c r="K367" s="31" t="s">
        <v>316</v>
      </c>
      <c r="L367" s="32" t="str">
        <f t="shared" si="25"/>
        <v>INCLUDE</v>
      </c>
      <c r="M367" s="32" t="str">
        <f t="shared" si="26"/>
        <v/>
      </c>
      <c r="N367" s="33" t="s">
        <v>58</v>
      </c>
      <c r="O367" s="33" t="s">
        <v>58</v>
      </c>
      <c r="P367" s="34"/>
      <c r="Q367" s="34"/>
      <c r="R367" s="34"/>
      <c r="S367" s="32" t="str">
        <f t="shared" si="27"/>
        <v/>
      </c>
      <c r="T367" s="32" t="str">
        <f t="shared" si="28"/>
        <v/>
      </c>
      <c r="U367" s="35"/>
      <c r="V367" s="35"/>
      <c r="W367" s="35"/>
      <c r="X367" s="35"/>
      <c r="Y367" s="32" t="str">
        <f t="shared" si="29"/>
        <v/>
      </c>
      <c r="Z367" s="35"/>
      <c r="AA367" s="35"/>
      <c r="AB367" s="35"/>
      <c r="AC367" s="35"/>
      <c r="AD367" s="35"/>
      <c r="AE367" s="35"/>
      <c r="AF367" s="35"/>
      <c r="AG367" s="15" t="s">
        <v>677</v>
      </c>
    </row>
    <row r="368" spans="1:33" ht="22.8" x14ac:dyDescent="0.3">
      <c r="A368" s="30">
        <v>3829</v>
      </c>
      <c r="B368" s="9"/>
      <c r="C368" s="36"/>
      <c r="D368" s="9"/>
      <c r="E368" s="9" t="s">
        <v>1099</v>
      </c>
      <c r="F368" s="30" t="s">
        <v>314</v>
      </c>
      <c r="G368" s="31" t="s">
        <v>317</v>
      </c>
      <c r="H368" s="31" t="s">
        <v>316</v>
      </c>
      <c r="I368" s="31" t="s">
        <v>316</v>
      </c>
      <c r="J368" s="31" t="s">
        <v>316</v>
      </c>
      <c r="K368" s="31" t="s">
        <v>317</v>
      </c>
      <c r="L368" s="32" t="str">
        <f t="shared" si="25"/>
        <v>EXCLUDE</v>
      </c>
      <c r="M368" s="32" t="str">
        <f t="shared" si="26"/>
        <v>Wrong domain (non-AECO)</v>
      </c>
      <c r="N368" s="33"/>
      <c r="O368" s="33"/>
      <c r="P368" s="34"/>
      <c r="Q368" s="34"/>
      <c r="R368" s="34"/>
      <c r="S368" s="32" t="str">
        <f t="shared" si="27"/>
        <v/>
      </c>
      <c r="T368" s="32" t="str">
        <f t="shared" si="28"/>
        <v/>
      </c>
      <c r="U368" s="35"/>
      <c r="V368" s="35"/>
      <c r="W368" s="35"/>
      <c r="X368" s="35"/>
      <c r="Y368" s="32" t="str">
        <f t="shared" si="29"/>
        <v/>
      </c>
      <c r="Z368" s="35"/>
      <c r="AA368" s="35"/>
      <c r="AB368" s="35"/>
      <c r="AC368" s="35"/>
      <c r="AD368" s="35"/>
      <c r="AE368" s="35"/>
      <c r="AF368" s="35"/>
      <c r="AG368" s="15" t="s">
        <v>678</v>
      </c>
    </row>
    <row r="369" spans="1:33" ht="22.8" x14ac:dyDescent="0.3">
      <c r="A369" s="30">
        <v>3950</v>
      </c>
      <c r="B369" s="9" t="s">
        <v>288</v>
      </c>
      <c r="C369" s="36">
        <v>2026</v>
      </c>
      <c r="D369" s="9"/>
      <c r="E369" s="9" t="s">
        <v>1100</v>
      </c>
      <c r="F369" s="30" t="s">
        <v>315</v>
      </c>
      <c r="G369" s="31" t="s">
        <v>316</v>
      </c>
      <c r="H369" s="31" t="s">
        <v>316</v>
      </c>
      <c r="I369" s="31" t="s">
        <v>316</v>
      </c>
      <c r="J369" s="31" t="s">
        <v>316</v>
      </c>
      <c r="K369" s="31" t="s">
        <v>316</v>
      </c>
      <c r="L369" s="32" t="str">
        <f t="shared" si="25"/>
        <v>INCLUDE</v>
      </c>
      <c r="M369" s="32" t="str">
        <f t="shared" si="26"/>
        <v/>
      </c>
      <c r="N369" s="33" t="s">
        <v>58</v>
      </c>
      <c r="O369" s="33" t="s">
        <v>58</v>
      </c>
      <c r="P369" s="34"/>
      <c r="Q369" s="34"/>
      <c r="R369" s="34"/>
      <c r="S369" s="32" t="str">
        <f t="shared" si="27"/>
        <v/>
      </c>
      <c r="T369" s="32" t="str">
        <f t="shared" si="28"/>
        <v/>
      </c>
      <c r="U369" s="35"/>
      <c r="V369" s="35"/>
      <c r="W369" s="35"/>
      <c r="X369" s="35"/>
      <c r="Y369" s="32" t="str">
        <f t="shared" si="29"/>
        <v/>
      </c>
      <c r="Z369" s="35"/>
      <c r="AA369" s="35"/>
      <c r="AB369" s="35"/>
      <c r="AC369" s="35"/>
      <c r="AD369" s="35"/>
      <c r="AE369" s="35"/>
      <c r="AF369" s="35"/>
      <c r="AG369" s="15" t="s">
        <v>679</v>
      </c>
    </row>
    <row r="370" spans="1:33" ht="22.8" x14ac:dyDescent="0.3">
      <c r="A370" s="30">
        <v>3961</v>
      </c>
      <c r="B370" s="9"/>
      <c r="C370" s="36"/>
      <c r="D370" s="9"/>
      <c r="E370" s="9" t="s">
        <v>1101</v>
      </c>
      <c r="F370" s="30" t="s">
        <v>315</v>
      </c>
      <c r="G370" s="31" t="s">
        <v>317</v>
      </c>
      <c r="H370" s="31" t="s">
        <v>316</v>
      </c>
      <c r="I370" s="31" t="s">
        <v>316</v>
      </c>
      <c r="J370" s="31" t="s">
        <v>316</v>
      </c>
      <c r="K370" s="31" t="s">
        <v>316</v>
      </c>
      <c r="L370" s="32" t="str">
        <f t="shared" si="25"/>
        <v>EXCLUDE</v>
      </c>
      <c r="M370" s="32" t="str">
        <f t="shared" si="26"/>
        <v>Wrong domain (non-AECO)</v>
      </c>
      <c r="N370" s="33"/>
      <c r="O370" s="33"/>
      <c r="P370" s="34"/>
      <c r="Q370" s="34"/>
      <c r="R370" s="34"/>
      <c r="S370" s="32" t="str">
        <f t="shared" si="27"/>
        <v/>
      </c>
      <c r="T370" s="32" t="str">
        <f t="shared" si="28"/>
        <v/>
      </c>
      <c r="U370" s="35"/>
      <c r="V370" s="35"/>
      <c r="W370" s="35"/>
      <c r="X370" s="35"/>
      <c r="Y370" s="32" t="str">
        <f t="shared" si="29"/>
        <v/>
      </c>
      <c r="Z370" s="35"/>
      <c r="AA370" s="35"/>
      <c r="AB370" s="35"/>
      <c r="AC370" s="35"/>
      <c r="AD370" s="35"/>
      <c r="AE370" s="35"/>
      <c r="AF370" s="35"/>
      <c r="AG370" s="15" t="s">
        <v>680</v>
      </c>
    </row>
    <row r="371" spans="1:33" ht="22.8" x14ac:dyDescent="0.3">
      <c r="A371" s="30">
        <v>3849</v>
      </c>
      <c r="B371" s="9"/>
      <c r="C371" s="36"/>
      <c r="D371" s="9"/>
      <c r="E371" s="9" t="s">
        <v>1102</v>
      </c>
      <c r="F371" s="30" t="s">
        <v>314</v>
      </c>
      <c r="G371" s="31" t="s">
        <v>317</v>
      </c>
      <c r="H371" s="31" t="s">
        <v>316</v>
      </c>
      <c r="I371" s="31" t="s">
        <v>316</v>
      </c>
      <c r="J371" s="31" t="s">
        <v>316</v>
      </c>
      <c r="K371" s="31" t="s">
        <v>316</v>
      </c>
      <c r="L371" s="32" t="str">
        <f t="shared" si="25"/>
        <v>EXCLUDE</v>
      </c>
      <c r="M371" s="32" t="str">
        <f t="shared" si="26"/>
        <v>Wrong domain (non-AECO)</v>
      </c>
      <c r="N371" s="33"/>
      <c r="O371" s="33"/>
      <c r="P371" s="34"/>
      <c r="Q371" s="34"/>
      <c r="R371" s="34"/>
      <c r="S371" s="32" t="str">
        <f t="shared" si="27"/>
        <v/>
      </c>
      <c r="T371" s="32" t="str">
        <f t="shared" si="28"/>
        <v/>
      </c>
      <c r="U371" s="35"/>
      <c r="V371" s="35"/>
      <c r="W371" s="35"/>
      <c r="X371" s="35"/>
      <c r="Y371" s="32" t="str">
        <f t="shared" si="29"/>
        <v/>
      </c>
      <c r="Z371" s="35"/>
      <c r="AA371" s="35"/>
      <c r="AB371" s="35"/>
      <c r="AC371" s="35"/>
      <c r="AD371" s="35"/>
      <c r="AE371" s="35"/>
      <c r="AF371" s="35"/>
      <c r="AG371" s="15" t="s">
        <v>681</v>
      </c>
    </row>
    <row r="372" spans="1:33" ht="22.8" x14ac:dyDescent="0.3">
      <c r="A372" s="30">
        <v>3545</v>
      </c>
      <c r="B372" s="9"/>
      <c r="C372" s="36"/>
      <c r="D372" s="9"/>
      <c r="E372" s="9" t="s">
        <v>1103</v>
      </c>
      <c r="F372" s="30" t="s">
        <v>314</v>
      </c>
      <c r="G372" s="31" t="s">
        <v>316</v>
      </c>
      <c r="H372" s="31" t="s">
        <v>317</v>
      </c>
      <c r="I372" s="31" t="s">
        <v>316</v>
      </c>
      <c r="J372" s="31" t="s">
        <v>316</v>
      </c>
      <c r="K372" s="31" t="s">
        <v>316</v>
      </c>
      <c r="L372" s="32" t="str">
        <f t="shared" si="25"/>
        <v>EXCLUDE</v>
      </c>
      <c r="M372" s="32" t="str">
        <f t="shared" si="26"/>
        <v>Digital Twin not core / buzzword</v>
      </c>
      <c r="N372" s="33"/>
      <c r="O372" s="33"/>
      <c r="P372" s="34"/>
      <c r="Q372" s="34"/>
      <c r="R372" s="34"/>
      <c r="S372" s="32" t="str">
        <f t="shared" si="27"/>
        <v/>
      </c>
      <c r="T372" s="32" t="str">
        <f t="shared" si="28"/>
        <v/>
      </c>
      <c r="U372" s="35"/>
      <c r="V372" s="35"/>
      <c r="W372" s="35"/>
      <c r="X372" s="35"/>
      <c r="Y372" s="32" t="str">
        <f t="shared" si="29"/>
        <v/>
      </c>
      <c r="Z372" s="35"/>
      <c r="AA372" s="35"/>
      <c r="AB372" s="35"/>
      <c r="AC372" s="35"/>
      <c r="AD372" s="35"/>
      <c r="AE372" s="35"/>
      <c r="AF372" s="35"/>
      <c r="AG372" s="15" t="s">
        <v>682</v>
      </c>
    </row>
    <row r="373" spans="1:33" ht="22.8" x14ac:dyDescent="0.3">
      <c r="A373" s="30">
        <v>3896</v>
      </c>
      <c r="B373" s="9" t="s">
        <v>289</v>
      </c>
      <c r="C373" s="36">
        <v>2023</v>
      </c>
      <c r="D373" s="9"/>
      <c r="E373" s="9" t="s">
        <v>1104</v>
      </c>
      <c r="F373" s="30" t="s">
        <v>315</v>
      </c>
      <c r="G373" s="31" t="s">
        <v>316</v>
      </c>
      <c r="H373" s="31" t="s">
        <v>316</v>
      </c>
      <c r="I373" s="31" t="s">
        <v>316</v>
      </c>
      <c r="J373" s="31" t="s">
        <v>316</v>
      </c>
      <c r="K373" s="31" t="s">
        <v>316</v>
      </c>
      <c r="L373" s="32" t="str">
        <f t="shared" si="25"/>
        <v>INCLUDE</v>
      </c>
      <c r="M373" s="32" t="str">
        <f t="shared" si="26"/>
        <v/>
      </c>
      <c r="N373" s="33" t="s">
        <v>58</v>
      </c>
      <c r="O373" s="33" t="s">
        <v>58</v>
      </c>
      <c r="P373" s="34"/>
      <c r="Q373" s="34"/>
      <c r="R373" s="34"/>
      <c r="S373" s="32" t="str">
        <f t="shared" si="27"/>
        <v/>
      </c>
      <c r="T373" s="32" t="str">
        <f t="shared" si="28"/>
        <v/>
      </c>
      <c r="U373" s="35"/>
      <c r="V373" s="35"/>
      <c r="W373" s="35"/>
      <c r="X373" s="35"/>
      <c r="Y373" s="32" t="str">
        <f t="shared" si="29"/>
        <v/>
      </c>
      <c r="Z373" s="35"/>
      <c r="AA373" s="35"/>
      <c r="AB373" s="35"/>
      <c r="AC373" s="35"/>
      <c r="AD373" s="35"/>
      <c r="AE373" s="35"/>
      <c r="AF373" s="35"/>
      <c r="AG373" s="15" t="s">
        <v>683</v>
      </c>
    </row>
    <row r="374" spans="1:33" ht="22.8" x14ac:dyDescent="0.3">
      <c r="A374" s="30">
        <v>3499</v>
      </c>
      <c r="B374" s="9"/>
      <c r="C374" s="36"/>
      <c r="D374" s="9"/>
      <c r="E374" s="9" t="s">
        <v>1105</v>
      </c>
      <c r="F374" s="30" t="s">
        <v>314</v>
      </c>
      <c r="G374" s="31" t="s">
        <v>317</v>
      </c>
      <c r="H374" s="31" t="s">
        <v>317</v>
      </c>
      <c r="I374" s="31" t="s">
        <v>317</v>
      </c>
      <c r="J374" s="31" t="s">
        <v>316</v>
      </c>
      <c r="K374" s="31" t="s">
        <v>317</v>
      </c>
      <c r="L374" s="32" t="str">
        <f t="shared" si="25"/>
        <v>EXCLUDE</v>
      </c>
      <c r="M374" s="32" t="str">
        <f t="shared" si="26"/>
        <v>Wrong domain (non-AECO)</v>
      </c>
      <c r="N374" s="33"/>
      <c r="O374" s="33"/>
      <c r="P374" s="34"/>
      <c r="Q374" s="34"/>
      <c r="R374" s="34"/>
      <c r="S374" s="32" t="str">
        <f t="shared" si="27"/>
        <v/>
      </c>
      <c r="T374" s="32" t="str">
        <f t="shared" si="28"/>
        <v/>
      </c>
      <c r="U374" s="35"/>
      <c r="V374" s="35"/>
      <c r="W374" s="35"/>
      <c r="X374" s="35"/>
      <c r="Y374" s="32" t="str">
        <f t="shared" si="29"/>
        <v/>
      </c>
      <c r="Z374" s="35"/>
      <c r="AA374" s="35"/>
      <c r="AB374" s="35"/>
      <c r="AC374" s="35"/>
      <c r="AD374" s="35"/>
      <c r="AE374" s="35"/>
      <c r="AF374" s="35"/>
      <c r="AG374" s="15" t="s">
        <v>684</v>
      </c>
    </row>
    <row r="375" spans="1:33" ht="22.8" x14ac:dyDescent="0.3">
      <c r="A375" s="30">
        <v>3522</v>
      </c>
      <c r="B375" s="9"/>
      <c r="C375" s="36"/>
      <c r="D375" s="9"/>
      <c r="E375" s="9" t="s">
        <v>1106</v>
      </c>
      <c r="F375" s="30" t="s">
        <v>314</v>
      </c>
      <c r="G375" s="31" t="s">
        <v>316</v>
      </c>
      <c r="H375" s="31" t="s">
        <v>316</v>
      </c>
      <c r="I375" s="31" t="s">
        <v>316</v>
      </c>
      <c r="J375" s="31" t="s">
        <v>316</v>
      </c>
      <c r="K375" s="31" t="s">
        <v>317</v>
      </c>
      <c r="L375" s="32" t="str">
        <f t="shared" si="25"/>
        <v>EXCLUDE</v>
      </c>
      <c r="M375" s="32" t="str">
        <f t="shared" si="26"/>
        <v>Non-English</v>
      </c>
      <c r="N375" s="33"/>
      <c r="O375" s="33"/>
      <c r="P375" s="34"/>
      <c r="Q375" s="34"/>
      <c r="R375" s="34"/>
      <c r="S375" s="32" t="str">
        <f t="shared" si="27"/>
        <v/>
      </c>
      <c r="T375" s="32" t="str">
        <f t="shared" si="28"/>
        <v/>
      </c>
      <c r="U375" s="35"/>
      <c r="V375" s="35"/>
      <c r="W375" s="35"/>
      <c r="X375" s="35"/>
      <c r="Y375" s="32" t="str">
        <f t="shared" si="29"/>
        <v/>
      </c>
      <c r="Z375" s="35"/>
      <c r="AA375" s="35"/>
      <c r="AB375" s="35"/>
      <c r="AC375" s="35"/>
      <c r="AD375" s="35"/>
      <c r="AE375" s="35"/>
      <c r="AF375" s="35"/>
      <c r="AG375" s="15" t="s">
        <v>553</v>
      </c>
    </row>
    <row r="376" spans="1:33" ht="22.8" x14ac:dyDescent="0.3">
      <c r="A376" s="30">
        <v>3553</v>
      </c>
      <c r="B376" s="9"/>
      <c r="C376" s="36"/>
      <c r="D376" s="9"/>
      <c r="E376" s="9" t="s">
        <v>1107</v>
      </c>
      <c r="F376" s="30" t="s">
        <v>314</v>
      </c>
      <c r="G376" s="31" t="s">
        <v>317</v>
      </c>
      <c r="H376" s="31" t="s">
        <v>316</v>
      </c>
      <c r="I376" s="31" t="s">
        <v>316</v>
      </c>
      <c r="J376" s="31" t="s">
        <v>316</v>
      </c>
      <c r="K376" s="31" t="s">
        <v>316</v>
      </c>
      <c r="L376" s="32" t="str">
        <f t="shared" si="25"/>
        <v>EXCLUDE</v>
      </c>
      <c r="M376" s="32" t="str">
        <f t="shared" si="26"/>
        <v>Wrong domain (non-AECO)</v>
      </c>
      <c r="N376" s="33"/>
      <c r="O376" s="33"/>
      <c r="P376" s="34"/>
      <c r="Q376" s="34"/>
      <c r="R376" s="34"/>
      <c r="S376" s="32" t="str">
        <f t="shared" si="27"/>
        <v/>
      </c>
      <c r="T376" s="32" t="str">
        <f t="shared" si="28"/>
        <v/>
      </c>
      <c r="U376" s="35"/>
      <c r="V376" s="35"/>
      <c r="W376" s="35"/>
      <c r="X376" s="35"/>
      <c r="Y376" s="32" t="str">
        <f t="shared" si="29"/>
        <v/>
      </c>
      <c r="Z376" s="35"/>
      <c r="AA376" s="35"/>
      <c r="AB376" s="35"/>
      <c r="AC376" s="35"/>
      <c r="AD376" s="35"/>
      <c r="AE376" s="35"/>
      <c r="AF376" s="35"/>
      <c r="AG376" s="15" t="s">
        <v>685</v>
      </c>
    </row>
    <row r="377" spans="1:33" ht="102.6" x14ac:dyDescent="0.3">
      <c r="A377" s="30">
        <v>3905</v>
      </c>
      <c r="B377" s="9" t="s">
        <v>290</v>
      </c>
      <c r="C377" s="36">
        <v>2025</v>
      </c>
      <c r="D377" s="9"/>
      <c r="E377" s="9" t="s">
        <v>1108</v>
      </c>
      <c r="F377" s="30" t="s">
        <v>315</v>
      </c>
      <c r="G377" s="31" t="s">
        <v>316</v>
      </c>
      <c r="H377" s="31" t="s">
        <v>316</v>
      </c>
      <c r="I377" s="31" t="s">
        <v>316</v>
      </c>
      <c r="J377" s="31" t="s">
        <v>316</v>
      </c>
      <c r="K377" s="31" t="s">
        <v>316</v>
      </c>
      <c r="L377" s="32" t="str">
        <f t="shared" si="25"/>
        <v>INCLUDE</v>
      </c>
      <c r="M377" s="32" t="str">
        <f t="shared" si="26"/>
        <v/>
      </c>
      <c r="N377" s="33" t="s">
        <v>49</v>
      </c>
      <c r="O377" s="33" t="s">
        <v>49</v>
      </c>
      <c r="P377" s="34" t="s">
        <v>49</v>
      </c>
      <c r="Q377" s="34" t="s">
        <v>49</v>
      </c>
      <c r="R377" s="34" t="s">
        <v>49</v>
      </c>
      <c r="S377" s="32" t="str">
        <f t="shared" si="27"/>
        <v>INCLUDE</v>
      </c>
      <c r="T377" s="32" t="str">
        <f t="shared" si="28"/>
        <v/>
      </c>
      <c r="U377" s="35" t="s">
        <v>61</v>
      </c>
      <c r="V377" s="35">
        <v>0</v>
      </c>
      <c r="W377" s="35">
        <v>1</v>
      </c>
      <c r="X377" s="35">
        <v>0</v>
      </c>
      <c r="Y377" s="32" t="str">
        <f t="shared" si="29"/>
        <v>Single</v>
      </c>
      <c r="Z377" s="35" t="s">
        <v>9</v>
      </c>
      <c r="AA377" s="35" t="s">
        <v>53</v>
      </c>
      <c r="AB377" s="35" t="s">
        <v>78</v>
      </c>
      <c r="AC377" s="35" t="s">
        <v>64</v>
      </c>
      <c r="AD377" s="35" t="s">
        <v>72</v>
      </c>
      <c r="AE377" s="35">
        <v>4</v>
      </c>
      <c r="AF377" s="35" t="s">
        <v>84</v>
      </c>
      <c r="AG377" s="15" t="s">
        <v>686</v>
      </c>
    </row>
    <row r="378" spans="1:33" ht="102.6" x14ac:dyDescent="0.3">
      <c r="A378" s="30">
        <v>3909</v>
      </c>
      <c r="B378" s="9" t="s">
        <v>291</v>
      </c>
      <c r="C378" s="36">
        <v>2026</v>
      </c>
      <c r="D378" s="9"/>
      <c r="E378" s="9" t="s">
        <v>1109</v>
      </c>
      <c r="F378" s="30" t="s">
        <v>315</v>
      </c>
      <c r="G378" s="31" t="s">
        <v>316</v>
      </c>
      <c r="H378" s="31" t="s">
        <v>316</v>
      </c>
      <c r="I378" s="31" t="s">
        <v>316</v>
      </c>
      <c r="J378" s="31" t="s">
        <v>316</v>
      </c>
      <c r="K378" s="31" t="s">
        <v>316</v>
      </c>
      <c r="L378" s="32" t="str">
        <f t="shared" si="25"/>
        <v>INCLUDE</v>
      </c>
      <c r="M378" s="32" t="str">
        <f t="shared" si="26"/>
        <v/>
      </c>
      <c r="N378" s="33" t="s">
        <v>49</v>
      </c>
      <c r="O378" s="33" t="s">
        <v>49</v>
      </c>
      <c r="P378" s="34" t="s">
        <v>49</v>
      </c>
      <c r="Q378" s="34" t="s">
        <v>49</v>
      </c>
      <c r="R378" s="34" t="s">
        <v>49</v>
      </c>
      <c r="S378" s="32" t="str">
        <f t="shared" si="27"/>
        <v>INCLUDE</v>
      </c>
      <c r="T378" s="32" t="str">
        <f t="shared" si="28"/>
        <v/>
      </c>
      <c r="U378" s="35" t="s">
        <v>61</v>
      </c>
      <c r="V378" s="35">
        <v>0</v>
      </c>
      <c r="W378" s="35">
        <v>1</v>
      </c>
      <c r="X378" s="35">
        <v>0</v>
      </c>
      <c r="Y378" s="32" t="str">
        <f t="shared" si="29"/>
        <v>Single</v>
      </c>
      <c r="Z378" s="35" t="s">
        <v>9</v>
      </c>
      <c r="AA378" s="35" t="s">
        <v>53</v>
      </c>
      <c r="AB378" s="35" t="s">
        <v>78</v>
      </c>
      <c r="AC378" s="35" t="s">
        <v>64</v>
      </c>
      <c r="AD378" s="35" t="s">
        <v>72</v>
      </c>
      <c r="AE378" s="35">
        <v>4</v>
      </c>
      <c r="AF378" s="35" t="s">
        <v>84</v>
      </c>
      <c r="AG378" s="15" t="s">
        <v>687</v>
      </c>
    </row>
    <row r="379" spans="1:33" ht="22.8" x14ac:dyDescent="0.3">
      <c r="A379" s="30">
        <v>3811</v>
      </c>
      <c r="B379" s="9"/>
      <c r="C379" s="36"/>
      <c r="D379" s="9"/>
      <c r="E379" s="9" t="s">
        <v>1110</v>
      </c>
      <c r="F379" s="30" t="s">
        <v>314</v>
      </c>
      <c r="G379" s="31" t="s">
        <v>317</v>
      </c>
      <c r="H379" s="31" t="s">
        <v>316</v>
      </c>
      <c r="I379" s="31" t="s">
        <v>317</v>
      </c>
      <c r="J379" s="31" t="s">
        <v>316</v>
      </c>
      <c r="K379" s="31" t="s">
        <v>317</v>
      </c>
      <c r="L379" s="32" t="str">
        <f t="shared" si="25"/>
        <v>EXCLUDE</v>
      </c>
      <c r="M379" s="32" t="str">
        <f t="shared" si="26"/>
        <v>Wrong domain (non-AECO)</v>
      </c>
      <c r="N379" s="33"/>
      <c r="O379" s="33"/>
      <c r="P379" s="34"/>
      <c r="Q379" s="34"/>
      <c r="R379" s="34"/>
      <c r="S379" s="32" t="str">
        <f t="shared" si="27"/>
        <v/>
      </c>
      <c r="T379" s="32" t="str">
        <f t="shared" si="28"/>
        <v/>
      </c>
      <c r="U379" s="35"/>
      <c r="V379" s="35"/>
      <c r="W379" s="35"/>
      <c r="X379" s="35"/>
      <c r="Y379" s="32" t="str">
        <f t="shared" si="29"/>
        <v/>
      </c>
      <c r="Z379" s="35"/>
      <c r="AA379" s="35"/>
      <c r="AB379" s="35"/>
      <c r="AC379" s="35"/>
      <c r="AD379" s="35"/>
      <c r="AE379" s="35"/>
      <c r="AF379" s="35"/>
      <c r="AG379" s="15" t="s">
        <v>688</v>
      </c>
    </row>
    <row r="380" spans="1:33" ht="22.8" x14ac:dyDescent="0.3">
      <c r="A380" s="30">
        <v>3721</v>
      </c>
      <c r="B380" s="9" t="s">
        <v>292</v>
      </c>
      <c r="C380" s="36">
        <v>2026</v>
      </c>
      <c r="D380" s="9"/>
      <c r="E380" s="9" t="s">
        <v>1111</v>
      </c>
      <c r="F380" s="30" t="s">
        <v>314</v>
      </c>
      <c r="G380" s="31" t="s">
        <v>316</v>
      </c>
      <c r="H380" s="31" t="s">
        <v>316</v>
      </c>
      <c r="I380" s="31" t="s">
        <v>316</v>
      </c>
      <c r="J380" s="31" t="s">
        <v>316</v>
      </c>
      <c r="K380" s="31" t="s">
        <v>316</v>
      </c>
      <c r="L380" s="32" t="str">
        <f t="shared" si="25"/>
        <v>INCLUDE</v>
      </c>
      <c r="M380" s="32" t="str">
        <f t="shared" si="26"/>
        <v/>
      </c>
      <c r="N380" s="33" t="s">
        <v>58</v>
      </c>
      <c r="O380" s="33" t="s">
        <v>58</v>
      </c>
      <c r="P380" s="34"/>
      <c r="Q380" s="34"/>
      <c r="R380" s="34"/>
      <c r="S380" s="32" t="str">
        <f t="shared" si="27"/>
        <v/>
      </c>
      <c r="T380" s="32" t="str">
        <f t="shared" si="28"/>
        <v/>
      </c>
      <c r="U380" s="35"/>
      <c r="V380" s="35"/>
      <c r="W380" s="35"/>
      <c r="X380" s="35"/>
      <c r="Y380" s="32" t="str">
        <f t="shared" si="29"/>
        <v/>
      </c>
      <c r="Z380" s="35"/>
      <c r="AA380" s="35"/>
      <c r="AB380" s="35"/>
      <c r="AC380" s="35"/>
      <c r="AD380" s="35"/>
      <c r="AE380" s="35"/>
      <c r="AF380" s="35"/>
      <c r="AG380" s="15" t="s">
        <v>689</v>
      </c>
    </row>
    <row r="381" spans="1:33" ht="22.8" x14ac:dyDescent="0.3">
      <c r="A381" s="30">
        <v>3547</v>
      </c>
      <c r="B381" s="9"/>
      <c r="C381" s="36"/>
      <c r="D381" s="9"/>
      <c r="E381" s="9" t="s">
        <v>1112</v>
      </c>
      <c r="F381" s="30" t="s">
        <v>314</v>
      </c>
      <c r="G381" s="31" t="s">
        <v>317</v>
      </c>
      <c r="H381" s="31" t="s">
        <v>316</v>
      </c>
      <c r="I381" s="31" t="s">
        <v>316</v>
      </c>
      <c r="J381" s="31" t="s">
        <v>316</v>
      </c>
      <c r="K381" s="31" t="s">
        <v>316</v>
      </c>
      <c r="L381" s="32" t="str">
        <f t="shared" si="25"/>
        <v>EXCLUDE</v>
      </c>
      <c r="M381" s="32" t="str">
        <f t="shared" si="26"/>
        <v>Wrong domain (non-AECO)</v>
      </c>
      <c r="N381" s="33"/>
      <c r="O381" s="33"/>
      <c r="P381" s="34"/>
      <c r="Q381" s="34"/>
      <c r="R381" s="34"/>
      <c r="S381" s="32" t="str">
        <f t="shared" si="27"/>
        <v/>
      </c>
      <c r="T381" s="32" t="str">
        <f t="shared" si="28"/>
        <v/>
      </c>
      <c r="U381" s="35"/>
      <c r="V381" s="35"/>
      <c r="W381" s="35"/>
      <c r="X381" s="35"/>
      <c r="Y381" s="32" t="str">
        <f t="shared" si="29"/>
        <v/>
      </c>
      <c r="Z381" s="35"/>
      <c r="AA381" s="35"/>
      <c r="AB381" s="35"/>
      <c r="AC381" s="35"/>
      <c r="AD381" s="35"/>
      <c r="AE381" s="35"/>
      <c r="AF381" s="35"/>
      <c r="AG381" s="15" t="s">
        <v>690</v>
      </c>
    </row>
    <row r="382" spans="1:33" x14ac:dyDescent="0.3">
      <c r="A382" s="30">
        <v>3649</v>
      </c>
      <c r="B382" s="9"/>
      <c r="C382" s="36"/>
      <c r="D382" s="9"/>
      <c r="E382" s="9" t="s">
        <v>1113</v>
      </c>
      <c r="F382" s="30" t="s">
        <v>314</v>
      </c>
      <c r="G382" s="31" t="s">
        <v>317</v>
      </c>
      <c r="H382" s="31" t="s">
        <v>316</v>
      </c>
      <c r="I382" s="31" t="s">
        <v>316</v>
      </c>
      <c r="J382" s="31" t="s">
        <v>316</v>
      </c>
      <c r="K382" s="31" t="s">
        <v>317</v>
      </c>
      <c r="L382" s="32" t="str">
        <f t="shared" si="25"/>
        <v>EXCLUDE</v>
      </c>
      <c r="M382" s="32" t="str">
        <f t="shared" si="26"/>
        <v>Wrong domain (non-AECO)</v>
      </c>
      <c r="N382" s="33"/>
      <c r="O382" s="33"/>
      <c r="P382" s="34"/>
      <c r="Q382" s="34"/>
      <c r="R382" s="34"/>
      <c r="S382" s="32" t="str">
        <f t="shared" si="27"/>
        <v/>
      </c>
      <c r="T382" s="32" t="str">
        <f t="shared" si="28"/>
        <v/>
      </c>
      <c r="U382" s="35"/>
      <c r="V382" s="35"/>
      <c r="W382" s="35"/>
      <c r="X382" s="35"/>
      <c r="Y382" s="32" t="str">
        <f t="shared" si="29"/>
        <v/>
      </c>
      <c r="Z382" s="35"/>
      <c r="AA382" s="35"/>
      <c r="AB382" s="35"/>
      <c r="AC382" s="35"/>
      <c r="AD382" s="35"/>
      <c r="AE382" s="35"/>
      <c r="AF382" s="35"/>
      <c r="AG382" s="15" t="s">
        <v>691</v>
      </c>
    </row>
    <row r="383" spans="1:33" ht="22.8" x14ac:dyDescent="0.3">
      <c r="A383" s="30">
        <v>3874</v>
      </c>
      <c r="B383" s="9" t="s">
        <v>293</v>
      </c>
      <c r="C383" s="36">
        <v>2025</v>
      </c>
      <c r="D383" s="9"/>
      <c r="E383" s="9" t="s">
        <v>1114</v>
      </c>
      <c r="F383" s="30" t="s">
        <v>315</v>
      </c>
      <c r="G383" s="31" t="s">
        <v>316</v>
      </c>
      <c r="H383" s="31" t="s">
        <v>316</v>
      </c>
      <c r="I383" s="31" t="s">
        <v>316</v>
      </c>
      <c r="J383" s="31" t="s">
        <v>316</v>
      </c>
      <c r="K383" s="31" t="s">
        <v>316</v>
      </c>
      <c r="L383" s="32" t="str">
        <f t="shared" si="25"/>
        <v>INCLUDE</v>
      </c>
      <c r="M383" s="32" t="str">
        <f t="shared" si="26"/>
        <v/>
      </c>
      <c r="N383" s="33" t="s">
        <v>58</v>
      </c>
      <c r="O383" s="33" t="s">
        <v>58</v>
      </c>
      <c r="P383" s="34"/>
      <c r="Q383" s="34"/>
      <c r="R383" s="34"/>
      <c r="S383" s="32" t="str">
        <f t="shared" si="27"/>
        <v/>
      </c>
      <c r="T383" s="32" t="str">
        <f t="shared" si="28"/>
        <v/>
      </c>
      <c r="U383" s="35"/>
      <c r="V383" s="35"/>
      <c r="W383" s="35"/>
      <c r="X383" s="35"/>
      <c r="Y383" s="32" t="str">
        <f t="shared" si="29"/>
        <v/>
      </c>
      <c r="Z383" s="35"/>
      <c r="AA383" s="35"/>
      <c r="AB383" s="35"/>
      <c r="AC383" s="35"/>
      <c r="AD383" s="35"/>
      <c r="AE383" s="35"/>
      <c r="AF383" s="35"/>
      <c r="AG383" s="15" t="s">
        <v>692</v>
      </c>
    </row>
    <row r="384" spans="1:33" ht="22.8" x14ac:dyDescent="0.3">
      <c r="A384" s="30">
        <v>3674</v>
      </c>
      <c r="B384" s="9"/>
      <c r="C384" s="36"/>
      <c r="D384" s="9"/>
      <c r="E384" s="9" t="s">
        <v>1115</v>
      </c>
      <c r="F384" s="30" t="s">
        <v>314</v>
      </c>
      <c r="G384" s="31" t="s">
        <v>317</v>
      </c>
      <c r="H384" s="31" t="s">
        <v>317</v>
      </c>
      <c r="I384" s="31" t="s">
        <v>316</v>
      </c>
      <c r="J384" s="31" t="s">
        <v>316</v>
      </c>
      <c r="K384" s="31" t="s">
        <v>317</v>
      </c>
      <c r="L384" s="32" t="str">
        <f t="shared" si="25"/>
        <v>EXCLUDE</v>
      </c>
      <c r="M384" s="32" t="str">
        <f t="shared" si="26"/>
        <v>Wrong domain (non-AECO)</v>
      </c>
      <c r="N384" s="33"/>
      <c r="O384" s="33"/>
      <c r="P384" s="34"/>
      <c r="Q384" s="34"/>
      <c r="R384" s="34"/>
      <c r="S384" s="32" t="str">
        <f t="shared" si="27"/>
        <v/>
      </c>
      <c r="T384" s="32" t="str">
        <f t="shared" si="28"/>
        <v/>
      </c>
      <c r="U384" s="35"/>
      <c r="V384" s="35"/>
      <c r="W384" s="35"/>
      <c r="X384" s="35"/>
      <c r="Y384" s="32" t="str">
        <f t="shared" si="29"/>
        <v/>
      </c>
      <c r="Z384" s="35"/>
      <c r="AA384" s="35"/>
      <c r="AB384" s="35"/>
      <c r="AC384" s="35"/>
      <c r="AD384" s="35"/>
      <c r="AE384" s="35"/>
      <c r="AF384" s="35"/>
      <c r="AG384" s="15" t="s">
        <v>693</v>
      </c>
    </row>
    <row r="385" spans="1:33" ht="22.8" x14ac:dyDescent="0.3">
      <c r="A385" s="30">
        <v>3520</v>
      </c>
      <c r="B385" s="9"/>
      <c r="C385" s="36"/>
      <c r="D385" s="9"/>
      <c r="E385" s="9" t="s">
        <v>1116</v>
      </c>
      <c r="F385" s="30" t="s">
        <v>314</v>
      </c>
      <c r="G385" s="31" t="s">
        <v>317</v>
      </c>
      <c r="H385" s="31" t="s">
        <v>317</v>
      </c>
      <c r="I385" s="31" t="s">
        <v>317</v>
      </c>
      <c r="J385" s="31" t="s">
        <v>316</v>
      </c>
      <c r="K385" s="31" t="s">
        <v>316</v>
      </c>
      <c r="L385" s="32" t="str">
        <f t="shared" si="25"/>
        <v>EXCLUDE</v>
      </c>
      <c r="M385" s="32" t="str">
        <f t="shared" si="26"/>
        <v>Wrong domain (non-AECO)</v>
      </c>
      <c r="N385" s="33"/>
      <c r="O385" s="33"/>
      <c r="P385" s="34"/>
      <c r="Q385" s="34"/>
      <c r="R385" s="34"/>
      <c r="S385" s="32" t="str">
        <f t="shared" si="27"/>
        <v/>
      </c>
      <c r="T385" s="32" t="str">
        <f t="shared" si="28"/>
        <v/>
      </c>
      <c r="U385" s="35"/>
      <c r="V385" s="35"/>
      <c r="W385" s="35"/>
      <c r="X385" s="35"/>
      <c r="Y385" s="32" t="str">
        <f t="shared" si="29"/>
        <v/>
      </c>
      <c r="Z385" s="35"/>
      <c r="AA385" s="35"/>
      <c r="AB385" s="35"/>
      <c r="AC385" s="35"/>
      <c r="AD385" s="35"/>
      <c r="AE385" s="35"/>
      <c r="AF385" s="35"/>
      <c r="AG385" s="15" t="s">
        <v>694</v>
      </c>
    </row>
    <row r="386" spans="1:33" ht="22.8" x14ac:dyDescent="0.3">
      <c r="A386" s="30">
        <v>3576</v>
      </c>
      <c r="B386" s="9"/>
      <c r="C386" s="36"/>
      <c r="D386" s="9"/>
      <c r="E386" s="9" t="s">
        <v>1117</v>
      </c>
      <c r="F386" s="30" t="s">
        <v>314</v>
      </c>
      <c r="G386" s="31" t="s">
        <v>317</v>
      </c>
      <c r="H386" s="31" t="s">
        <v>316</v>
      </c>
      <c r="I386" s="31" t="s">
        <v>316</v>
      </c>
      <c r="J386" s="31" t="s">
        <v>316</v>
      </c>
      <c r="K386" s="31" t="s">
        <v>316</v>
      </c>
      <c r="L386" s="32" t="str">
        <f t="shared" ref="L386:L449" si="30">IF(COUNTBLANK(G386:K386)=5,"",IF(COUNTIF(G386:K386,"No")&gt;0,"EXCLUDE","INCLUDE"))</f>
        <v>EXCLUDE</v>
      </c>
      <c r="M386" s="32" t="str">
        <f t="shared" ref="M386:M449" si="31">IF(L386&lt;&gt;"EXCLUDE","",IF(G386="No","Wrong domain (non-AECO)",IF(H386="No","Digital Twin not core / buzzword",IF(I386="No","No Design for Safety/Quality/PtD",IF(J386="No","Wrong publication type",IF(K386="No","Non-English",""))))))</f>
        <v>Wrong domain (non-AECO)</v>
      </c>
      <c r="N386" s="33"/>
      <c r="O386" s="33"/>
      <c r="P386" s="34"/>
      <c r="Q386" s="34"/>
      <c r="R386" s="34"/>
      <c r="S386" s="32" t="str">
        <f t="shared" ref="S386:S449" si="32">IF(N386&lt;&gt;"Yes","",IF(COUNTBLANK(P386:R386)=3,"",IF(COUNTIF(P386:R386,"No")&gt;0,"EXCLUDE","INCLUDE")))</f>
        <v/>
      </c>
      <c r="T386" s="32" t="str">
        <f t="shared" ref="T386:T449" si="33">IF(S386&lt;&gt;"EXCLUDE","",IF(P386="No","Digital Twin mentioned only, not the subject",IF(Q386="No","No Design for Safety/Quality in full text",IF(R386="No","Methodology not codable",""))))</f>
        <v/>
      </c>
      <c r="U386" s="35"/>
      <c r="V386" s="35"/>
      <c r="W386" s="35"/>
      <c r="X386" s="35"/>
      <c r="Y386" s="32" t="str">
        <f t="shared" ref="Y386:Y449" si="34">IF(SUM(V386:X386)=0,"",IF(SUM(V386:X386)&gt;=2,"Multi","Single"))</f>
        <v/>
      </c>
      <c r="Z386" s="35"/>
      <c r="AA386" s="35"/>
      <c r="AB386" s="35"/>
      <c r="AC386" s="35"/>
      <c r="AD386" s="35"/>
      <c r="AE386" s="35"/>
      <c r="AF386" s="35"/>
      <c r="AG386" s="15" t="s">
        <v>695</v>
      </c>
    </row>
    <row r="387" spans="1:33" ht="22.8" x14ac:dyDescent="0.3">
      <c r="A387" s="30">
        <v>3696</v>
      </c>
      <c r="B387" s="9" t="s">
        <v>294</v>
      </c>
      <c r="C387" s="36">
        <v>2023</v>
      </c>
      <c r="D387" s="9"/>
      <c r="E387" s="9" t="s">
        <v>1118</v>
      </c>
      <c r="F387" s="30" t="s">
        <v>314</v>
      </c>
      <c r="G387" s="31" t="s">
        <v>316</v>
      </c>
      <c r="H387" s="31" t="s">
        <v>316</v>
      </c>
      <c r="I387" s="31" t="s">
        <v>316</v>
      </c>
      <c r="J387" s="31" t="s">
        <v>316</v>
      </c>
      <c r="K387" s="31" t="s">
        <v>316</v>
      </c>
      <c r="L387" s="32" t="str">
        <f t="shared" si="30"/>
        <v>INCLUDE</v>
      </c>
      <c r="M387" s="32" t="str">
        <f t="shared" si="31"/>
        <v/>
      </c>
      <c r="N387" s="33" t="s">
        <v>58</v>
      </c>
      <c r="O387" s="33" t="s">
        <v>58</v>
      </c>
      <c r="P387" s="34"/>
      <c r="Q387" s="34"/>
      <c r="R387" s="34"/>
      <c r="S387" s="32" t="str">
        <f t="shared" si="32"/>
        <v/>
      </c>
      <c r="T387" s="32" t="str">
        <f t="shared" si="33"/>
        <v/>
      </c>
      <c r="U387" s="35"/>
      <c r="V387" s="35"/>
      <c r="W387" s="35"/>
      <c r="X387" s="35"/>
      <c r="Y387" s="32" t="str">
        <f t="shared" si="34"/>
        <v/>
      </c>
      <c r="Z387" s="35"/>
      <c r="AA387" s="35"/>
      <c r="AB387" s="35"/>
      <c r="AC387" s="35"/>
      <c r="AD387" s="35"/>
      <c r="AE387" s="35"/>
      <c r="AF387" s="35"/>
      <c r="AG387" s="15" t="s">
        <v>696</v>
      </c>
    </row>
    <row r="388" spans="1:33" ht="22.8" x14ac:dyDescent="0.3">
      <c r="A388" s="30">
        <v>3855</v>
      </c>
      <c r="B388" s="9"/>
      <c r="C388" s="36"/>
      <c r="D388" s="9"/>
      <c r="E388" s="9" t="s">
        <v>1119</v>
      </c>
      <c r="F388" s="30" t="s">
        <v>314</v>
      </c>
      <c r="G388" s="31" t="s">
        <v>317</v>
      </c>
      <c r="H388" s="31" t="s">
        <v>317</v>
      </c>
      <c r="I388" s="31" t="s">
        <v>317</v>
      </c>
      <c r="J388" s="31" t="s">
        <v>316</v>
      </c>
      <c r="K388" s="31" t="s">
        <v>316</v>
      </c>
      <c r="L388" s="32" t="str">
        <f t="shared" si="30"/>
        <v>EXCLUDE</v>
      </c>
      <c r="M388" s="32" t="str">
        <f t="shared" si="31"/>
        <v>Wrong domain (non-AECO)</v>
      </c>
      <c r="N388" s="33"/>
      <c r="O388" s="33"/>
      <c r="P388" s="34"/>
      <c r="Q388" s="34"/>
      <c r="R388" s="34"/>
      <c r="S388" s="32" t="str">
        <f t="shared" si="32"/>
        <v/>
      </c>
      <c r="T388" s="32" t="str">
        <f t="shared" si="33"/>
        <v/>
      </c>
      <c r="U388" s="35"/>
      <c r="V388" s="35"/>
      <c r="W388" s="35"/>
      <c r="X388" s="35"/>
      <c r="Y388" s="32" t="str">
        <f t="shared" si="34"/>
        <v/>
      </c>
      <c r="Z388" s="35"/>
      <c r="AA388" s="35"/>
      <c r="AB388" s="35"/>
      <c r="AC388" s="35"/>
      <c r="AD388" s="35"/>
      <c r="AE388" s="35"/>
      <c r="AF388" s="35"/>
      <c r="AG388" s="15" t="s">
        <v>697</v>
      </c>
    </row>
    <row r="389" spans="1:33" ht="22.8" x14ac:dyDescent="0.3">
      <c r="A389" s="30">
        <v>3667</v>
      </c>
      <c r="B389" s="9" t="s">
        <v>295</v>
      </c>
      <c r="C389" s="36">
        <v>2026</v>
      </c>
      <c r="D389" s="9"/>
      <c r="E389" s="9" t="s">
        <v>1120</v>
      </c>
      <c r="F389" s="30" t="s">
        <v>314</v>
      </c>
      <c r="G389" s="31" t="s">
        <v>316</v>
      </c>
      <c r="H389" s="31" t="s">
        <v>316</v>
      </c>
      <c r="I389" s="31" t="s">
        <v>316</v>
      </c>
      <c r="J389" s="31" t="s">
        <v>316</v>
      </c>
      <c r="K389" s="31" t="s">
        <v>316</v>
      </c>
      <c r="L389" s="32" t="str">
        <f t="shared" si="30"/>
        <v>INCLUDE</v>
      </c>
      <c r="M389" s="32" t="str">
        <f t="shared" si="31"/>
        <v/>
      </c>
      <c r="N389" s="33" t="s">
        <v>58</v>
      </c>
      <c r="O389" s="33" t="s">
        <v>58</v>
      </c>
      <c r="P389" s="34"/>
      <c r="Q389" s="34"/>
      <c r="R389" s="34"/>
      <c r="S389" s="32" t="str">
        <f t="shared" si="32"/>
        <v/>
      </c>
      <c r="T389" s="32" t="str">
        <f t="shared" si="33"/>
        <v/>
      </c>
      <c r="U389" s="35"/>
      <c r="V389" s="35"/>
      <c r="W389" s="35"/>
      <c r="X389" s="35"/>
      <c r="Y389" s="32" t="str">
        <f t="shared" si="34"/>
        <v/>
      </c>
      <c r="Z389" s="35"/>
      <c r="AA389" s="35"/>
      <c r="AB389" s="35"/>
      <c r="AC389" s="35"/>
      <c r="AD389" s="35"/>
      <c r="AE389" s="35"/>
      <c r="AF389" s="35"/>
      <c r="AG389" s="15" t="s">
        <v>698</v>
      </c>
    </row>
    <row r="390" spans="1:33" ht="102.6" x14ac:dyDescent="0.3">
      <c r="A390" s="30">
        <v>3518</v>
      </c>
      <c r="B390" s="9" t="s">
        <v>296</v>
      </c>
      <c r="C390" s="36">
        <v>2023</v>
      </c>
      <c r="D390" s="9"/>
      <c r="E390" s="9" t="s">
        <v>1121</v>
      </c>
      <c r="F390" s="30" t="s">
        <v>314</v>
      </c>
      <c r="G390" s="31" t="s">
        <v>316</v>
      </c>
      <c r="H390" s="31" t="s">
        <v>316</v>
      </c>
      <c r="I390" s="31" t="s">
        <v>316</v>
      </c>
      <c r="J390" s="31" t="s">
        <v>316</v>
      </c>
      <c r="K390" s="31" t="s">
        <v>316</v>
      </c>
      <c r="L390" s="32" t="str">
        <f t="shared" si="30"/>
        <v>INCLUDE</v>
      </c>
      <c r="M390" s="32" t="str">
        <f t="shared" si="31"/>
        <v/>
      </c>
      <c r="N390" s="33" t="s">
        <v>49</v>
      </c>
      <c r="O390" s="33" t="s">
        <v>49</v>
      </c>
      <c r="P390" s="34" t="s">
        <v>49</v>
      </c>
      <c r="Q390" s="34" t="s">
        <v>49</v>
      </c>
      <c r="R390" s="34" t="s">
        <v>49</v>
      </c>
      <c r="S390" s="32" t="str">
        <f t="shared" si="32"/>
        <v>INCLUDE</v>
      </c>
      <c r="T390" s="32" t="str">
        <f t="shared" si="33"/>
        <v/>
      </c>
      <c r="U390" s="35" t="s">
        <v>61</v>
      </c>
      <c r="V390" s="35">
        <v>0</v>
      </c>
      <c r="W390" s="35">
        <v>1</v>
      </c>
      <c r="X390" s="35">
        <v>0</v>
      </c>
      <c r="Y390" s="32" t="str">
        <f t="shared" si="34"/>
        <v>Single</v>
      </c>
      <c r="Z390" s="35" t="s">
        <v>9</v>
      </c>
      <c r="AA390" s="35" t="s">
        <v>53</v>
      </c>
      <c r="AB390" s="35" t="s">
        <v>54</v>
      </c>
      <c r="AC390" s="35" t="s">
        <v>64</v>
      </c>
      <c r="AD390" s="35" t="s">
        <v>72</v>
      </c>
      <c r="AE390" s="35">
        <v>4</v>
      </c>
      <c r="AF390" s="35" t="s">
        <v>73</v>
      </c>
      <c r="AG390" s="15" t="s">
        <v>699</v>
      </c>
    </row>
    <row r="391" spans="1:33" ht="22.8" x14ac:dyDescent="0.3">
      <c r="A391" s="30">
        <v>3993</v>
      </c>
      <c r="B391" s="9" t="s">
        <v>297</v>
      </c>
      <c r="C391" s="36">
        <v>2024</v>
      </c>
      <c r="D391" s="9"/>
      <c r="E391" s="9" t="s">
        <v>1122</v>
      </c>
      <c r="F391" s="30" t="s">
        <v>315</v>
      </c>
      <c r="G391" s="31" t="s">
        <v>316</v>
      </c>
      <c r="H391" s="31" t="s">
        <v>316</v>
      </c>
      <c r="I391" s="31" t="s">
        <v>316</v>
      </c>
      <c r="J391" s="31" t="s">
        <v>316</v>
      </c>
      <c r="K391" s="31" t="s">
        <v>316</v>
      </c>
      <c r="L391" s="32" t="str">
        <f t="shared" si="30"/>
        <v>INCLUDE</v>
      </c>
      <c r="M391" s="32" t="str">
        <f t="shared" si="31"/>
        <v/>
      </c>
      <c r="N391" s="33" t="s">
        <v>58</v>
      </c>
      <c r="O391" s="33" t="s">
        <v>58</v>
      </c>
      <c r="P391" s="34"/>
      <c r="Q391" s="34"/>
      <c r="R391" s="34"/>
      <c r="S391" s="32" t="str">
        <f t="shared" si="32"/>
        <v/>
      </c>
      <c r="T391" s="32" t="str">
        <f t="shared" si="33"/>
        <v/>
      </c>
      <c r="U391" s="35"/>
      <c r="V391" s="35"/>
      <c r="W391" s="35"/>
      <c r="X391" s="35"/>
      <c r="Y391" s="32" t="str">
        <f t="shared" si="34"/>
        <v/>
      </c>
      <c r="Z391" s="35"/>
      <c r="AA391" s="35"/>
      <c r="AB391" s="35"/>
      <c r="AC391" s="35"/>
      <c r="AD391" s="35"/>
      <c r="AE391" s="35"/>
      <c r="AF391" s="35"/>
      <c r="AG391" s="15" t="s">
        <v>700</v>
      </c>
    </row>
    <row r="392" spans="1:33" ht="22.8" x14ac:dyDescent="0.3">
      <c r="A392" s="30">
        <v>3757</v>
      </c>
      <c r="B392" s="9"/>
      <c r="C392" s="36"/>
      <c r="D392" s="9"/>
      <c r="E392" s="9" t="s">
        <v>1123</v>
      </c>
      <c r="F392" s="30" t="s">
        <v>314</v>
      </c>
      <c r="G392" s="31" t="s">
        <v>317</v>
      </c>
      <c r="H392" s="31" t="s">
        <v>317</v>
      </c>
      <c r="I392" s="31" t="s">
        <v>317</v>
      </c>
      <c r="J392" s="31" t="s">
        <v>316</v>
      </c>
      <c r="K392" s="31" t="s">
        <v>317</v>
      </c>
      <c r="L392" s="32" t="str">
        <f t="shared" si="30"/>
        <v>EXCLUDE</v>
      </c>
      <c r="M392" s="32" t="str">
        <f t="shared" si="31"/>
        <v>Wrong domain (non-AECO)</v>
      </c>
      <c r="N392" s="33"/>
      <c r="O392" s="33"/>
      <c r="P392" s="34"/>
      <c r="Q392" s="34"/>
      <c r="R392" s="34"/>
      <c r="S392" s="32" t="str">
        <f t="shared" si="32"/>
        <v/>
      </c>
      <c r="T392" s="32" t="str">
        <f t="shared" si="33"/>
        <v/>
      </c>
      <c r="U392" s="35"/>
      <c r="V392" s="35"/>
      <c r="W392" s="35"/>
      <c r="X392" s="35"/>
      <c r="Y392" s="32" t="str">
        <f t="shared" si="34"/>
        <v/>
      </c>
      <c r="Z392" s="35"/>
      <c r="AA392" s="35"/>
      <c r="AB392" s="35"/>
      <c r="AC392" s="35"/>
      <c r="AD392" s="35"/>
      <c r="AE392" s="35"/>
      <c r="AF392" s="35"/>
      <c r="AG392" s="15" t="s">
        <v>701</v>
      </c>
    </row>
    <row r="393" spans="1:33" ht="22.8" x14ac:dyDescent="0.3">
      <c r="A393" s="30">
        <v>3628</v>
      </c>
      <c r="B393" s="9"/>
      <c r="C393" s="36"/>
      <c r="D393" s="9"/>
      <c r="E393" s="9" t="s">
        <v>1124</v>
      </c>
      <c r="F393" s="30" t="s">
        <v>314</v>
      </c>
      <c r="G393" s="31" t="s">
        <v>317</v>
      </c>
      <c r="H393" s="31" t="s">
        <v>316</v>
      </c>
      <c r="I393" s="31" t="s">
        <v>316</v>
      </c>
      <c r="J393" s="31" t="s">
        <v>316</v>
      </c>
      <c r="K393" s="31" t="s">
        <v>317</v>
      </c>
      <c r="L393" s="32" t="str">
        <f t="shared" si="30"/>
        <v>EXCLUDE</v>
      </c>
      <c r="M393" s="32" t="str">
        <f t="shared" si="31"/>
        <v>Wrong domain (non-AECO)</v>
      </c>
      <c r="N393" s="33"/>
      <c r="O393" s="33"/>
      <c r="P393" s="34"/>
      <c r="Q393" s="34"/>
      <c r="R393" s="34"/>
      <c r="S393" s="32" t="str">
        <f t="shared" si="32"/>
        <v/>
      </c>
      <c r="T393" s="32" t="str">
        <f t="shared" si="33"/>
        <v/>
      </c>
      <c r="U393" s="35"/>
      <c r="V393" s="35"/>
      <c r="W393" s="35"/>
      <c r="X393" s="35"/>
      <c r="Y393" s="32" t="str">
        <f t="shared" si="34"/>
        <v/>
      </c>
      <c r="Z393" s="35"/>
      <c r="AA393" s="35"/>
      <c r="AB393" s="35"/>
      <c r="AC393" s="35"/>
      <c r="AD393" s="35"/>
      <c r="AE393" s="35"/>
      <c r="AF393" s="35"/>
      <c r="AG393" s="15" t="s">
        <v>702</v>
      </c>
    </row>
    <row r="394" spans="1:33" ht="22.8" x14ac:dyDescent="0.3">
      <c r="A394" s="30">
        <v>3539</v>
      </c>
      <c r="B394" s="9" t="s">
        <v>298</v>
      </c>
      <c r="C394" s="36">
        <v>2025</v>
      </c>
      <c r="D394" s="9"/>
      <c r="E394" s="9" t="s">
        <v>1125</v>
      </c>
      <c r="F394" s="30" t="s">
        <v>314</v>
      </c>
      <c r="G394" s="31" t="s">
        <v>316</v>
      </c>
      <c r="H394" s="31" t="s">
        <v>316</v>
      </c>
      <c r="I394" s="31" t="s">
        <v>316</v>
      </c>
      <c r="J394" s="31" t="s">
        <v>316</v>
      </c>
      <c r="K394" s="31" t="s">
        <v>316</v>
      </c>
      <c r="L394" s="32" t="str">
        <f t="shared" si="30"/>
        <v>INCLUDE</v>
      </c>
      <c r="M394" s="32" t="str">
        <f t="shared" si="31"/>
        <v/>
      </c>
      <c r="N394" s="33" t="s">
        <v>58</v>
      </c>
      <c r="O394" s="33" t="s">
        <v>58</v>
      </c>
      <c r="P394" s="34"/>
      <c r="Q394" s="34"/>
      <c r="R394" s="34"/>
      <c r="S394" s="32" t="str">
        <f t="shared" si="32"/>
        <v/>
      </c>
      <c r="T394" s="32" t="str">
        <f t="shared" si="33"/>
        <v/>
      </c>
      <c r="U394" s="35"/>
      <c r="V394" s="35"/>
      <c r="W394" s="35"/>
      <c r="X394" s="35"/>
      <c r="Y394" s="32" t="str">
        <f t="shared" si="34"/>
        <v/>
      </c>
      <c r="Z394" s="35"/>
      <c r="AA394" s="35"/>
      <c r="AB394" s="35"/>
      <c r="AC394" s="35"/>
      <c r="AD394" s="35"/>
      <c r="AE394" s="35"/>
      <c r="AF394" s="35"/>
      <c r="AG394" s="15" t="s">
        <v>703</v>
      </c>
    </row>
    <row r="395" spans="1:33" ht="22.8" x14ac:dyDescent="0.3">
      <c r="A395" s="30">
        <v>3706</v>
      </c>
      <c r="B395" s="9"/>
      <c r="C395" s="36"/>
      <c r="D395" s="9"/>
      <c r="E395" s="9" t="s">
        <v>1126</v>
      </c>
      <c r="F395" s="30" t="s">
        <v>314</v>
      </c>
      <c r="G395" s="31" t="s">
        <v>316</v>
      </c>
      <c r="H395" s="31" t="s">
        <v>316</v>
      </c>
      <c r="I395" s="31" t="s">
        <v>316</v>
      </c>
      <c r="J395" s="31" t="s">
        <v>316</v>
      </c>
      <c r="K395" s="31" t="s">
        <v>317</v>
      </c>
      <c r="L395" s="32" t="str">
        <f t="shared" si="30"/>
        <v>EXCLUDE</v>
      </c>
      <c r="M395" s="32" t="str">
        <f t="shared" si="31"/>
        <v>Non-English</v>
      </c>
      <c r="N395" s="33"/>
      <c r="O395" s="33"/>
      <c r="P395" s="34"/>
      <c r="Q395" s="34"/>
      <c r="R395" s="34"/>
      <c r="S395" s="32" t="str">
        <f t="shared" si="32"/>
        <v/>
      </c>
      <c r="T395" s="32" t="str">
        <f t="shared" si="33"/>
        <v/>
      </c>
      <c r="U395" s="35"/>
      <c r="V395" s="35"/>
      <c r="W395" s="35"/>
      <c r="X395" s="35"/>
      <c r="Y395" s="32" t="str">
        <f t="shared" si="34"/>
        <v/>
      </c>
      <c r="Z395" s="35"/>
      <c r="AA395" s="35"/>
      <c r="AB395" s="35"/>
      <c r="AC395" s="35"/>
      <c r="AD395" s="35"/>
      <c r="AE395" s="35"/>
      <c r="AF395" s="35"/>
      <c r="AG395" s="15" t="s">
        <v>630</v>
      </c>
    </row>
    <row r="396" spans="1:33" ht="22.8" x14ac:dyDescent="0.3">
      <c r="A396" s="30">
        <v>3495</v>
      </c>
      <c r="B396" s="9"/>
      <c r="C396" s="36"/>
      <c r="D396" s="9"/>
      <c r="E396" s="9" t="s">
        <v>1127</v>
      </c>
      <c r="F396" s="30" t="s">
        <v>314</v>
      </c>
      <c r="G396" s="31" t="s">
        <v>316</v>
      </c>
      <c r="H396" s="31" t="s">
        <v>316</v>
      </c>
      <c r="I396" s="31" t="s">
        <v>316</v>
      </c>
      <c r="J396" s="31" t="s">
        <v>316</v>
      </c>
      <c r="K396" s="31" t="s">
        <v>317</v>
      </c>
      <c r="L396" s="32" t="str">
        <f t="shared" si="30"/>
        <v>EXCLUDE</v>
      </c>
      <c r="M396" s="32" t="str">
        <f t="shared" si="31"/>
        <v>Non-English</v>
      </c>
      <c r="N396" s="33"/>
      <c r="O396" s="33"/>
      <c r="P396" s="34"/>
      <c r="Q396" s="34"/>
      <c r="R396" s="34"/>
      <c r="S396" s="32" t="str">
        <f t="shared" si="32"/>
        <v/>
      </c>
      <c r="T396" s="32" t="str">
        <f t="shared" si="33"/>
        <v/>
      </c>
      <c r="U396" s="35"/>
      <c r="V396" s="35"/>
      <c r="W396" s="35"/>
      <c r="X396" s="35"/>
      <c r="Y396" s="32" t="str">
        <f t="shared" si="34"/>
        <v/>
      </c>
      <c r="Z396" s="35"/>
      <c r="AA396" s="35"/>
      <c r="AB396" s="35"/>
      <c r="AC396" s="35"/>
      <c r="AD396" s="35"/>
      <c r="AE396" s="35"/>
      <c r="AF396" s="35"/>
      <c r="AG396" s="15" t="s">
        <v>523</v>
      </c>
    </row>
    <row r="397" spans="1:33" ht="22.8" x14ac:dyDescent="0.3">
      <c r="A397" s="30">
        <v>3934</v>
      </c>
      <c r="B397" s="9" t="s">
        <v>299</v>
      </c>
      <c r="C397" s="36">
        <v>2024</v>
      </c>
      <c r="D397" s="9"/>
      <c r="E397" s="9" t="s">
        <v>1128</v>
      </c>
      <c r="F397" s="30" t="s">
        <v>315</v>
      </c>
      <c r="G397" s="31" t="s">
        <v>316</v>
      </c>
      <c r="H397" s="31" t="s">
        <v>316</v>
      </c>
      <c r="I397" s="31" t="s">
        <v>316</v>
      </c>
      <c r="J397" s="31" t="s">
        <v>316</v>
      </c>
      <c r="K397" s="31" t="s">
        <v>316</v>
      </c>
      <c r="L397" s="32" t="str">
        <f t="shared" si="30"/>
        <v>INCLUDE</v>
      </c>
      <c r="M397" s="32" t="str">
        <f t="shared" si="31"/>
        <v/>
      </c>
      <c r="N397" s="33" t="s">
        <v>58</v>
      </c>
      <c r="O397" s="33" t="s">
        <v>58</v>
      </c>
      <c r="P397" s="34"/>
      <c r="Q397" s="34"/>
      <c r="R397" s="34"/>
      <c r="S397" s="32" t="str">
        <f t="shared" si="32"/>
        <v/>
      </c>
      <c r="T397" s="32" t="str">
        <f t="shared" si="33"/>
        <v/>
      </c>
      <c r="U397" s="35"/>
      <c r="V397" s="35"/>
      <c r="W397" s="35"/>
      <c r="X397" s="35"/>
      <c r="Y397" s="32" t="str">
        <f t="shared" si="34"/>
        <v/>
      </c>
      <c r="Z397" s="35"/>
      <c r="AA397" s="35"/>
      <c r="AB397" s="35"/>
      <c r="AC397" s="35"/>
      <c r="AD397" s="35"/>
      <c r="AE397" s="35"/>
      <c r="AF397" s="35"/>
      <c r="AG397" s="15" t="s">
        <v>704</v>
      </c>
    </row>
    <row r="398" spans="1:33" ht="22.8" x14ac:dyDescent="0.3">
      <c r="A398" s="30">
        <v>3845</v>
      </c>
      <c r="B398" s="9"/>
      <c r="C398" s="36"/>
      <c r="D398" s="9"/>
      <c r="E398" s="9" t="s">
        <v>1129</v>
      </c>
      <c r="F398" s="30" t="s">
        <v>314</v>
      </c>
      <c r="G398" s="31" t="s">
        <v>316</v>
      </c>
      <c r="H398" s="31" t="s">
        <v>317</v>
      </c>
      <c r="I398" s="31" t="s">
        <v>316</v>
      </c>
      <c r="J398" s="31" t="s">
        <v>316</v>
      </c>
      <c r="K398" s="31" t="s">
        <v>316</v>
      </c>
      <c r="L398" s="32" t="str">
        <f t="shared" si="30"/>
        <v>EXCLUDE</v>
      </c>
      <c r="M398" s="32" t="str">
        <f t="shared" si="31"/>
        <v>Digital Twin not core / buzzword</v>
      </c>
      <c r="N398" s="33"/>
      <c r="O398" s="33"/>
      <c r="P398" s="34"/>
      <c r="Q398" s="34"/>
      <c r="R398" s="34"/>
      <c r="S398" s="32" t="str">
        <f t="shared" si="32"/>
        <v/>
      </c>
      <c r="T398" s="32" t="str">
        <f t="shared" si="33"/>
        <v/>
      </c>
      <c r="U398" s="35"/>
      <c r="V398" s="35"/>
      <c r="W398" s="35"/>
      <c r="X398" s="35"/>
      <c r="Y398" s="32" t="str">
        <f t="shared" si="34"/>
        <v/>
      </c>
      <c r="Z398" s="35"/>
      <c r="AA398" s="35"/>
      <c r="AB398" s="35"/>
      <c r="AC398" s="35"/>
      <c r="AD398" s="35"/>
      <c r="AE398" s="35"/>
      <c r="AF398" s="35"/>
      <c r="AG398" s="15" t="s">
        <v>705</v>
      </c>
    </row>
    <row r="399" spans="1:33" ht="125.4" x14ac:dyDescent="0.3">
      <c r="A399" s="30">
        <v>4035</v>
      </c>
      <c r="B399" s="9" t="s">
        <v>300</v>
      </c>
      <c r="C399" s="36">
        <v>2025</v>
      </c>
      <c r="D399" s="9"/>
      <c r="E399" s="9" t="s">
        <v>1130</v>
      </c>
      <c r="F399" s="30" t="s">
        <v>315</v>
      </c>
      <c r="G399" s="31" t="s">
        <v>316</v>
      </c>
      <c r="H399" s="31" t="s">
        <v>316</v>
      </c>
      <c r="I399" s="31" t="s">
        <v>316</v>
      </c>
      <c r="J399" s="31" t="s">
        <v>316</v>
      </c>
      <c r="K399" s="31" t="s">
        <v>316</v>
      </c>
      <c r="L399" s="32" t="str">
        <f t="shared" si="30"/>
        <v>INCLUDE</v>
      </c>
      <c r="M399" s="32" t="str">
        <f t="shared" si="31"/>
        <v/>
      </c>
      <c r="N399" s="33" t="s">
        <v>49</v>
      </c>
      <c r="O399" s="33" t="s">
        <v>49</v>
      </c>
      <c r="P399" s="34" t="s">
        <v>49</v>
      </c>
      <c r="Q399" s="34" t="s">
        <v>49</v>
      </c>
      <c r="R399" s="34" t="s">
        <v>49</v>
      </c>
      <c r="S399" s="32" t="str">
        <f t="shared" si="32"/>
        <v>INCLUDE</v>
      </c>
      <c r="T399" s="32" t="str">
        <f t="shared" si="33"/>
        <v/>
      </c>
      <c r="U399" s="35" t="s">
        <v>61</v>
      </c>
      <c r="V399" s="35">
        <v>0</v>
      </c>
      <c r="W399" s="35">
        <v>1</v>
      </c>
      <c r="X399" s="35">
        <v>0</v>
      </c>
      <c r="Y399" s="32" t="str">
        <f t="shared" si="34"/>
        <v>Single</v>
      </c>
      <c r="Z399" s="35" t="s">
        <v>9</v>
      </c>
      <c r="AA399" s="35" t="s">
        <v>53</v>
      </c>
      <c r="AB399" s="35" t="s">
        <v>91</v>
      </c>
      <c r="AC399" s="35" t="s">
        <v>64</v>
      </c>
      <c r="AD399" s="35" t="s">
        <v>65</v>
      </c>
      <c r="AE399" s="35">
        <v>4</v>
      </c>
      <c r="AF399" s="35" t="s">
        <v>80</v>
      </c>
      <c r="AG399" s="15" t="s">
        <v>706</v>
      </c>
    </row>
    <row r="400" spans="1:33" ht="22.8" x14ac:dyDescent="0.3">
      <c r="A400" s="30">
        <v>4038</v>
      </c>
      <c r="B400" s="9"/>
      <c r="C400" s="36"/>
      <c r="D400" s="9"/>
      <c r="E400" s="9" t="s">
        <v>1131</v>
      </c>
      <c r="F400" s="30" t="s">
        <v>315</v>
      </c>
      <c r="G400" s="31" t="s">
        <v>317</v>
      </c>
      <c r="H400" s="31" t="s">
        <v>316</v>
      </c>
      <c r="I400" s="31" t="s">
        <v>316</v>
      </c>
      <c r="J400" s="31" t="s">
        <v>316</v>
      </c>
      <c r="K400" s="31" t="s">
        <v>316</v>
      </c>
      <c r="L400" s="32" t="str">
        <f t="shared" si="30"/>
        <v>EXCLUDE</v>
      </c>
      <c r="M400" s="32" t="str">
        <f t="shared" si="31"/>
        <v>Wrong domain (non-AECO)</v>
      </c>
      <c r="N400" s="33"/>
      <c r="O400" s="33"/>
      <c r="P400" s="34"/>
      <c r="Q400" s="34"/>
      <c r="R400" s="34"/>
      <c r="S400" s="32" t="str">
        <f t="shared" si="32"/>
        <v/>
      </c>
      <c r="T400" s="32" t="str">
        <f t="shared" si="33"/>
        <v/>
      </c>
      <c r="U400" s="35"/>
      <c r="V400" s="35"/>
      <c r="W400" s="35"/>
      <c r="X400" s="35"/>
      <c r="Y400" s="32" t="str">
        <f t="shared" si="34"/>
        <v/>
      </c>
      <c r="Z400" s="35"/>
      <c r="AA400" s="35"/>
      <c r="AB400" s="35"/>
      <c r="AC400" s="35"/>
      <c r="AD400" s="35"/>
      <c r="AE400" s="35"/>
      <c r="AF400" s="35"/>
      <c r="AG400" s="15" t="s">
        <v>707</v>
      </c>
    </row>
    <row r="401" spans="1:33" ht="22.8" x14ac:dyDescent="0.3">
      <c r="A401" s="30">
        <v>3800</v>
      </c>
      <c r="B401" s="9"/>
      <c r="C401" s="36"/>
      <c r="D401" s="9"/>
      <c r="E401" s="9" t="s">
        <v>1132</v>
      </c>
      <c r="F401" s="30" t="s">
        <v>314</v>
      </c>
      <c r="G401" s="31" t="s">
        <v>316</v>
      </c>
      <c r="H401" s="31" t="s">
        <v>316</v>
      </c>
      <c r="I401" s="31" t="s">
        <v>316</v>
      </c>
      <c r="J401" s="31" t="s">
        <v>316</v>
      </c>
      <c r="K401" s="31" t="s">
        <v>317</v>
      </c>
      <c r="L401" s="32" t="str">
        <f t="shared" si="30"/>
        <v>EXCLUDE</v>
      </c>
      <c r="M401" s="32" t="str">
        <f t="shared" si="31"/>
        <v>Non-English</v>
      </c>
      <c r="N401" s="33"/>
      <c r="O401" s="33"/>
      <c r="P401" s="34"/>
      <c r="Q401" s="34"/>
      <c r="R401" s="34"/>
      <c r="S401" s="32" t="str">
        <f t="shared" si="32"/>
        <v/>
      </c>
      <c r="T401" s="32" t="str">
        <f t="shared" si="33"/>
        <v/>
      </c>
      <c r="U401" s="35"/>
      <c r="V401" s="35"/>
      <c r="W401" s="35"/>
      <c r="X401" s="35"/>
      <c r="Y401" s="32" t="str">
        <f t="shared" si="34"/>
        <v/>
      </c>
      <c r="Z401" s="35"/>
      <c r="AA401" s="35"/>
      <c r="AB401" s="35"/>
      <c r="AC401" s="35"/>
      <c r="AD401" s="35"/>
      <c r="AE401" s="35"/>
      <c r="AF401" s="35"/>
      <c r="AG401" s="15" t="s">
        <v>456</v>
      </c>
    </row>
    <row r="402" spans="1:33" ht="114" x14ac:dyDescent="0.3">
      <c r="A402" s="30">
        <v>3968</v>
      </c>
      <c r="B402" s="9" t="s">
        <v>300</v>
      </c>
      <c r="C402" s="36">
        <v>2025</v>
      </c>
      <c r="D402" s="9"/>
      <c r="E402" s="9" t="s">
        <v>1133</v>
      </c>
      <c r="F402" s="30" t="s">
        <v>315</v>
      </c>
      <c r="G402" s="31" t="s">
        <v>316</v>
      </c>
      <c r="H402" s="31" t="s">
        <v>316</v>
      </c>
      <c r="I402" s="31" t="s">
        <v>316</v>
      </c>
      <c r="J402" s="31" t="s">
        <v>316</v>
      </c>
      <c r="K402" s="31" t="s">
        <v>316</v>
      </c>
      <c r="L402" s="32" t="str">
        <f t="shared" si="30"/>
        <v>INCLUDE</v>
      </c>
      <c r="M402" s="32" t="str">
        <f t="shared" si="31"/>
        <v/>
      </c>
      <c r="N402" s="33" t="s">
        <v>49</v>
      </c>
      <c r="O402" s="33" t="s">
        <v>49</v>
      </c>
      <c r="P402" s="34" t="s">
        <v>49</v>
      </c>
      <c r="Q402" s="34" t="s">
        <v>49</v>
      </c>
      <c r="R402" s="34" t="s">
        <v>49</v>
      </c>
      <c r="S402" s="32" t="str">
        <f t="shared" si="32"/>
        <v>INCLUDE</v>
      </c>
      <c r="T402" s="32" t="str">
        <f t="shared" si="33"/>
        <v/>
      </c>
      <c r="U402" s="35" t="s">
        <v>61</v>
      </c>
      <c r="V402" s="35">
        <v>0</v>
      </c>
      <c r="W402" s="35">
        <v>0</v>
      </c>
      <c r="X402" s="35">
        <v>1</v>
      </c>
      <c r="Y402" s="32" t="str">
        <f t="shared" si="34"/>
        <v>Single</v>
      </c>
      <c r="Z402" s="35" t="s">
        <v>11</v>
      </c>
      <c r="AA402" s="35" t="s">
        <v>53</v>
      </c>
      <c r="AB402" s="35" t="s">
        <v>73</v>
      </c>
      <c r="AC402" s="35" t="s">
        <v>64</v>
      </c>
      <c r="AD402" s="35" t="s">
        <v>72</v>
      </c>
      <c r="AE402" s="35">
        <v>4</v>
      </c>
      <c r="AF402" s="35" t="s">
        <v>73</v>
      </c>
      <c r="AG402" s="15" t="s">
        <v>708</v>
      </c>
    </row>
    <row r="403" spans="1:33" ht="102.6" x14ac:dyDescent="0.3">
      <c r="A403" s="30">
        <v>3928</v>
      </c>
      <c r="B403" s="9" t="s">
        <v>301</v>
      </c>
      <c r="C403" s="36">
        <v>2022</v>
      </c>
      <c r="D403" s="9"/>
      <c r="E403" s="9" t="s">
        <v>1134</v>
      </c>
      <c r="F403" s="30" t="s">
        <v>315</v>
      </c>
      <c r="G403" s="31" t="s">
        <v>316</v>
      </c>
      <c r="H403" s="31" t="s">
        <v>316</v>
      </c>
      <c r="I403" s="31" t="s">
        <v>316</v>
      </c>
      <c r="J403" s="31" t="s">
        <v>316</v>
      </c>
      <c r="K403" s="31" t="s">
        <v>316</v>
      </c>
      <c r="L403" s="32" t="str">
        <f t="shared" si="30"/>
        <v>INCLUDE</v>
      </c>
      <c r="M403" s="32" t="str">
        <f t="shared" si="31"/>
        <v/>
      </c>
      <c r="N403" s="33" t="s">
        <v>49</v>
      </c>
      <c r="O403" s="33" t="s">
        <v>49</v>
      </c>
      <c r="P403" s="34" t="s">
        <v>49</v>
      </c>
      <c r="Q403" s="34" t="s">
        <v>49</v>
      </c>
      <c r="R403" s="34" t="s">
        <v>49</v>
      </c>
      <c r="S403" s="32" t="str">
        <f t="shared" si="32"/>
        <v>INCLUDE</v>
      </c>
      <c r="T403" s="32" t="str">
        <f t="shared" si="33"/>
        <v/>
      </c>
      <c r="U403" s="35" t="s">
        <v>82</v>
      </c>
      <c r="V403" s="35">
        <v>0</v>
      </c>
      <c r="W403" s="35">
        <v>1</v>
      </c>
      <c r="X403" s="35">
        <v>0</v>
      </c>
      <c r="Y403" s="32" t="str">
        <f t="shared" si="34"/>
        <v>Single</v>
      </c>
      <c r="Z403" s="35" t="s">
        <v>69</v>
      </c>
      <c r="AA403" s="35" t="s">
        <v>53</v>
      </c>
      <c r="AB403" s="35" t="s">
        <v>91</v>
      </c>
      <c r="AC403" s="35" t="s">
        <v>64</v>
      </c>
      <c r="AD403" s="35" t="s">
        <v>56</v>
      </c>
      <c r="AE403" s="35">
        <v>2</v>
      </c>
      <c r="AF403" s="35" t="s">
        <v>57</v>
      </c>
      <c r="AG403" s="15" t="s">
        <v>709</v>
      </c>
    </row>
    <row r="404" spans="1:33" ht="22.8" x14ac:dyDescent="0.3">
      <c r="A404" s="30">
        <v>3498</v>
      </c>
      <c r="B404" s="9"/>
      <c r="C404" s="36"/>
      <c r="D404" s="9"/>
      <c r="E404" s="9" t="s">
        <v>1135</v>
      </c>
      <c r="F404" s="30" t="s">
        <v>314</v>
      </c>
      <c r="G404" s="31" t="s">
        <v>316</v>
      </c>
      <c r="H404" s="31" t="s">
        <v>317</v>
      </c>
      <c r="I404" s="31" t="s">
        <v>317</v>
      </c>
      <c r="J404" s="31" t="s">
        <v>316</v>
      </c>
      <c r="K404" s="31" t="s">
        <v>316</v>
      </c>
      <c r="L404" s="32" t="str">
        <f t="shared" si="30"/>
        <v>EXCLUDE</v>
      </c>
      <c r="M404" s="32" t="str">
        <f t="shared" si="31"/>
        <v>Digital Twin not core / buzzword</v>
      </c>
      <c r="N404" s="33"/>
      <c r="O404" s="33"/>
      <c r="P404" s="34"/>
      <c r="Q404" s="34"/>
      <c r="R404" s="34"/>
      <c r="S404" s="32" t="str">
        <f t="shared" si="32"/>
        <v/>
      </c>
      <c r="T404" s="32" t="str">
        <f t="shared" si="33"/>
        <v/>
      </c>
      <c r="U404" s="35"/>
      <c r="V404" s="35"/>
      <c r="W404" s="35"/>
      <c r="X404" s="35"/>
      <c r="Y404" s="32" t="str">
        <f t="shared" si="34"/>
        <v/>
      </c>
      <c r="Z404" s="35"/>
      <c r="AA404" s="35"/>
      <c r="AB404" s="35"/>
      <c r="AC404" s="35"/>
      <c r="AD404" s="35"/>
      <c r="AE404" s="35"/>
      <c r="AF404" s="35"/>
      <c r="AG404" s="15" t="s">
        <v>710</v>
      </c>
    </row>
    <row r="405" spans="1:33" ht="22.8" x14ac:dyDescent="0.3">
      <c r="A405" s="30">
        <v>3991</v>
      </c>
      <c r="B405" s="9" t="s">
        <v>302</v>
      </c>
      <c r="C405" s="36">
        <v>2026</v>
      </c>
      <c r="D405" s="9"/>
      <c r="E405" s="9" t="s">
        <v>1136</v>
      </c>
      <c r="F405" s="30" t="s">
        <v>315</v>
      </c>
      <c r="G405" s="31" t="s">
        <v>316</v>
      </c>
      <c r="H405" s="31" t="s">
        <v>316</v>
      </c>
      <c r="I405" s="31" t="s">
        <v>316</v>
      </c>
      <c r="J405" s="31" t="s">
        <v>316</v>
      </c>
      <c r="K405" s="31" t="s">
        <v>316</v>
      </c>
      <c r="L405" s="32" t="str">
        <f t="shared" si="30"/>
        <v>INCLUDE</v>
      </c>
      <c r="M405" s="32" t="str">
        <f t="shared" si="31"/>
        <v/>
      </c>
      <c r="N405" s="33" t="s">
        <v>58</v>
      </c>
      <c r="O405" s="33" t="s">
        <v>58</v>
      </c>
      <c r="P405" s="34"/>
      <c r="Q405" s="34"/>
      <c r="R405" s="34"/>
      <c r="S405" s="32" t="str">
        <f t="shared" si="32"/>
        <v/>
      </c>
      <c r="T405" s="32" t="str">
        <f t="shared" si="33"/>
        <v/>
      </c>
      <c r="U405" s="35"/>
      <c r="V405" s="35"/>
      <c r="W405" s="35"/>
      <c r="X405" s="35"/>
      <c r="Y405" s="32" t="str">
        <f t="shared" si="34"/>
        <v/>
      </c>
      <c r="Z405" s="35"/>
      <c r="AA405" s="35"/>
      <c r="AB405" s="35"/>
      <c r="AC405" s="35"/>
      <c r="AD405" s="35"/>
      <c r="AE405" s="35"/>
      <c r="AF405" s="35"/>
      <c r="AG405" s="15" t="s">
        <v>711</v>
      </c>
    </row>
    <row r="406" spans="1:33" ht="22.8" x14ac:dyDescent="0.3">
      <c r="A406" s="30">
        <v>3918</v>
      </c>
      <c r="B406" s="9" t="s">
        <v>300</v>
      </c>
      <c r="C406" s="36">
        <v>2025</v>
      </c>
      <c r="D406" s="9"/>
      <c r="E406" s="9" t="s">
        <v>1137</v>
      </c>
      <c r="F406" s="30" t="s">
        <v>315</v>
      </c>
      <c r="G406" s="31" t="s">
        <v>316</v>
      </c>
      <c r="H406" s="31" t="s">
        <v>316</v>
      </c>
      <c r="I406" s="31" t="s">
        <v>316</v>
      </c>
      <c r="J406" s="31" t="s">
        <v>316</v>
      </c>
      <c r="K406" s="31" t="s">
        <v>316</v>
      </c>
      <c r="L406" s="32" t="str">
        <f t="shared" si="30"/>
        <v>INCLUDE</v>
      </c>
      <c r="M406" s="32" t="str">
        <f t="shared" si="31"/>
        <v/>
      </c>
      <c r="N406" s="33" t="s">
        <v>58</v>
      </c>
      <c r="O406" s="33" t="s">
        <v>58</v>
      </c>
      <c r="P406" s="34"/>
      <c r="Q406" s="34"/>
      <c r="R406" s="34"/>
      <c r="S406" s="32" t="str">
        <f t="shared" si="32"/>
        <v/>
      </c>
      <c r="T406" s="32" t="str">
        <f t="shared" si="33"/>
        <v/>
      </c>
      <c r="U406" s="35"/>
      <c r="V406" s="35"/>
      <c r="W406" s="35"/>
      <c r="X406" s="35"/>
      <c r="Y406" s="32" t="str">
        <f t="shared" si="34"/>
        <v/>
      </c>
      <c r="Z406" s="35"/>
      <c r="AA406" s="35"/>
      <c r="AB406" s="35"/>
      <c r="AC406" s="35"/>
      <c r="AD406" s="35"/>
      <c r="AE406" s="35"/>
      <c r="AF406" s="35"/>
      <c r="AG406" s="15" t="s">
        <v>712</v>
      </c>
    </row>
    <row r="407" spans="1:33" ht="22.8" x14ac:dyDescent="0.3">
      <c r="A407" s="30">
        <v>3681</v>
      </c>
      <c r="B407" s="9"/>
      <c r="C407" s="36"/>
      <c r="D407" s="9"/>
      <c r="E407" s="9" t="s">
        <v>1138</v>
      </c>
      <c r="F407" s="30" t="s">
        <v>314</v>
      </c>
      <c r="G407" s="31" t="s">
        <v>316</v>
      </c>
      <c r="H407" s="31" t="s">
        <v>317</v>
      </c>
      <c r="I407" s="31" t="s">
        <v>316</v>
      </c>
      <c r="J407" s="31" t="s">
        <v>316</v>
      </c>
      <c r="K407" s="31" t="s">
        <v>316</v>
      </c>
      <c r="L407" s="32" t="str">
        <f t="shared" si="30"/>
        <v>EXCLUDE</v>
      </c>
      <c r="M407" s="32" t="str">
        <f t="shared" si="31"/>
        <v>Digital Twin not core / buzzword</v>
      </c>
      <c r="N407" s="33"/>
      <c r="O407" s="33"/>
      <c r="P407" s="34"/>
      <c r="Q407" s="34"/>
      <c r="R407" s="34"/>
      <c r="S407" s="32" t="str">
        <f t="shared" si="32"/>
        <v/>
      </c>
      <c r="T407" s="32" t="str">
        <f t="shared" si="33"/>
        <v/>
      </c>
      <c r="U407" s="35"/>
      <c r="V407" s="35"/>
      <c r="W407" s="35"/>
      <c r="X407" s="35"/>
      <c r="Y407" s="32" t="str">
        <f t="shared" si="34"/>
        <v/>
      </c>
      <c r="Z407" s="35"/>
      <c r="AA407" s="35"/>
      <c r="AB407" s="35"/>
      <c r="AC407" s="35"/>
      <c r="AD407" s="35"/>
      <c r="AE407" s="35"/>
      <c r="AF407" s="35"/>
      <c r="AG407" s="15" t="s">
        <v>713</v>
      </c>
    </row>
    <row r="408" spans="1:33" ht="22.8" x14ac:dyDescent="0.3">
      <c r="A408" s="30">
        <v>4015</v>
      </c>
      <c r="B408" s="9"/>
      <c r="C408" s="36"/>
      <c r="D408" s="9"/>
      <c r="E408" s="9" t="s">
        <v>1139</v>
      </c>
      <c r="F408" s="30" t="s">
        <v>315</v>
      </c>
      <c r="G408" s="31" t="s">
        <v>316</v>
      </c>
      <c r="H408" s="31" t="s">
        <v>317</v>
      </c>
      <c r="I408" s="31" t="s">
        <v>316</v>
      </c>
      <c r="J408" s="31" t="s">
        <v>316</v>
      </c>
      <c r="K408" s="31" t="s">
        <v>316</v>
      </c>
      <c r="L408" s="32" t="str">
        <f t="shared" si="30"/>
        <v>EXCLUDE</v>
      </c>
      <c r="M408" s="32" t="str">
        <f t="shared" si="31"/>
        <v>Digital Twin not core / buzzword</v>
      </c>
      <c r="N408" s="33"/>
      <c r="O408" s="33"/>
      <c r="P408" s="34"/>
      <c r="Q408" s="34"/>
      <c r="R408" s="34"/>
      <c r="S408" s="32" t="str">
        <f t="shared" si="32"/>
        <v/>
      </c>
      <c r="T408" s="32" t="str">
        <f t="shared" si="33"/>
        <v/>
      </c>
      <c r="U408" s="35"/>
      <c r="V408" s="35"/>
      <c r="W408" s="35"/>
      <c r="X408" s="35"/>
      <c r="Y408" s="32" t="str">
        <f t="shared" si="34"/>
        <v/>
      </c>
      <c r="Z408" s="35"/>
      <c r="AA408" s="35"/>
      <c r="AB408" s="35"/>
      <c r="AC408" s="35"/>
      <c r="AD408" s="35"/>
      <c r="AE408" s="35"/>
      <c r="AF408" s="35"/>
      <c r="AG408" s="15" t="s">
        <v>714</v>
      </c>
    </row>
    <row r="409" spans="1:33" ht="114" x14ac:dyDescent="0.3">
      <c r="A409" s="30">
        <v>4017</v>
      </c>
      <c r="B409" s="9" t="s">
        <v>303</v>
      </c>
      <c r="C409" s="36">
        <v>2026</v>
      </c>
      <c r="D409" s="9"/>
      <c r="E409" s="9" t="s">
        <v>1140</v>
      </c>
      <c r="F409" s="30" t="s">
        <v>315</v>
      </c>
      <c r="G409" s="31" t="s">
        <v>316</v>
      </c>
      <c r="H409" s="31" t="s">
        <v>316</v>
      </c>
      <c r="I409" s="31" t="s">
        <v>316</v>
      </c>
      <c r="J409" s="31" t="s">
        <v>316</v>
      </c>
      <c r="K409" s="31" t="s">
        <v>316</v>
      </c>
      <c r="L409" s="32" t="str">
        <f t="shared" si="30"/>
        <v>INCLUDE</v>
      </c>
      <c r="M409" s="32" t="str">
        <f t="shared" si="31"/>
        <v/>
      </c>
      <c r="N409" s="33" t="s">
        <v>49</v>
      </c>
      <c r="O409" s="33" t="s">
        <v>49</v>
      </c>
      <c r="P409" s="34" t="s">
        <v>49</v>
      </c>
      <c r="Q409" s="34" t="s">
        <v>49</v>
      </c>
      <c r="R409" s="34" t="s">
        <v>49</v>
      </c>
      <c r="S409" s="32" t="str">
        <f t="shared" si="32"/>
        <v>INCLUDE</v>
      </c>
      <c r="T409" s="32" t="str">
        <f t="shared" si="33"/>
        <v/>
      </c>
      <c r="U409" s="35" t="s">
        <v>61</v>
      </c>
      <c r="V409" s="35">
        <v>0</v>
      </c>
      <c r="W409" s="35">
        <v>0</v>
      </c>
      <c r="X409" s="35">
        <v>1</v>
      </c>
      <c r="Y409" s="32" t="str">
        <f t="shared" si="34"/>
        <v>Single</v>
      </c>
      <c r="Z409" s="35" t="s">
        <v>11</v>
      </c>
      <c r="AA409" s="35" t="s">
        <v>53</v>
      </c>
      <c r="AB409" s="35" t="s">
        <v>73</v>
      </c>
      <c r="AC409" s="35" t="s">
        <v>64</v>
      </c>
      <c r="AD409" s="35" t="s">
        <v>72</v>
      </c>
      <c r="AE409" s="35">
        <v>4</v>
      </c>
      <c r="AF409" s="35" t="s">
        <v>73</v>
      </c>
      <c r="AG409" s="15" t="s">
        <v>715</v>
      </c>
    </row>
    <row r="410" spans="1:33" ht="22.8" x14ac:dyDescent="0.3">
      <c r="A410" s="30">
        <v>3711</v>
      </c>
      <c r="B410" s="9" t="s">
        <v>304</v>
      </c>
      <c r="C410" s="36">
        <v>2024</v>
      </c>
      <c r="D410" s="9"/>
      <c r="E410" s="9" t="s">
        <v>1141</v>
      </c>
      <c r="F410" s="30" t="s">
        <v>314</v>
      </c>
      <c r="G410" s="31" t="s">
        <v>316</v>
      </c>
      <c r="H410" s="31" t="s">
        <v>316</v>
      </c>
      <c r="I410" s="31" t="s">
        <v>316</v>
      </c>
      <c r="J410" s="31" t="s">
        <v>316</v>
      </c>
      <c r="K410" s="31" t="s">
        <v>316</v>
      </c>
      <c r="L410" s="32" t="str">
        <f t="shared" si="30"/>
        <v>INCLUDE</v>
      </c>
      <c r="M410" s="32" t="str">
        <f t="shared" si="31"/>
        <v/>
      </c>
      <c r="N410" s="33" t="s">
        <v>58</v>
      </c>
      <c r="O410" s="33" t="s">
        <v>58</v>
      </c>
      <c r="P410" s="34"/>
      <c r="Q410" s="34"/>
      <c r="R410" s="34"/>
      <c r="S410" s="32" t="str">
        <f t="shared" si="32"/>
        <v/>
      </c>
      <c r="T410" s="32" t="str">
        <f t="shared" si="33"/>
        <v/>
      </c>
      <c r="U410" s="35"/>
      <c r="V410" s="35"/>
      <c r="W410" s="35"/>
      <c r="X410" s="35"/>
      <c r="Y410" s="32" t="str">
        <f t="shared" si="34"/>
        <v/>
      </c>
      <c r="Z410" s="35"/>
      <c r="AA410" s="35"/>
      <c r="AB410" s="35"/>
      <c r="AC410" s="35"/>
      <c r="AD410" s="35"/>
      <c r="AE410" s="35"/>
      <c r="AF410" s="35"/>
      <c r="AG410" s="15" t="s">
        <v>716</v>
      </c>
    </row>
    <row r="411" spans="1:33" ht="22.8" x14ac:dyDescent="0.3">
      <c r="A411" s="30">
        <v>3682</v>
      </c>
      <c r="B411" s="9"/>
      <c r="C411" s="36"/>
      <c r="D411" s="9"/>
      <c r="E411" s="9" t="s">
        <v>1142</v>
      </c>
      <c r="F411" s="30" t="s">
        <v>314</v>
      </c>
      <c r="G411" s="31" t="s">
        <v>317</v>
      </c>
      <c r="H411" s="31" t="s">
        <v>316</v>
      </c>
      <c r="I411" s="31" t="s">
        <v>316</v>
      </c>
      <c r="J411" s="31" t="s">
        <v>316</v>
      </c>
      <c r="K411" s="31" t="s">
        <v>317</v>
      </c>
      <c r="L411" s="32" t="str">
        <f t="shared" si="30"/>
        <v>EXCLUDE</v>
      </c>
      <c r="M411" s="32" t="str">
        <f t="shared" si="31"/>
        <v>Wrong domain (non-AECO)</v>
      </c>
      <c r="N411" s="33"/>
      <c r="O411" s="33"/>
      <c r="P411" s="34"/>
      <c r="Q411" s="34"/>
      <c r="R411" s="34"/>
      <c r="S411" s="32" t="str">
        <f t="shared" si="32"/>
        <v/>
      </c>
      <c r="T411" s="32" t="str">
        <f t="shared" si="33"/>
        <v/>
      </c>
      <c r="U411" s="35"/>
      <c r="V411" s="35"/>
      <c r="W411" s="35"/>
      <c r="X411" s="35"/>
      <c r="Y411" s="32" t="str">
        <f t="shared" si="34"/>
        <v/>
      </c>
      <c r="Z411" s="35"/>
      <c r="AA411" s="35"/>
      <c r="AB411" s="35"/>
      <c r="AC411" s="35"/>
      <c r="AD411" s="35"/>
      <c r="AE411" s="35"/>
      <c r="AF411" s="35"/>
      <c r="AG411" s="15" t="s">
        <v>717</v>
      </c>
    </row>
    <row r="412" spans="1:33" ht="22.8" x14ac:dyDescent="0.3">
      <c r="A412" s="30">
        <v>3954</v>
      </c>
      <c r="B412" s="9" t="s">
        <v>305</v>
      </c>
      <c r="C412" s="36">
        <v>2022</v>
      </c>
      <c r="D412" s="9"/>
      <c r="E412" s="9" t="s">
        <v>1143</v>
      </c>
      <c r="F412" s="30" t="s">
        <v>315</v>
      </c>
      <c r="G412" s="31" t="s">
        <v>316</v>
      </c>
      <c r="H412" s="31" t="s">
        <v>316</v>
      </c>
      <c r="I412" s="31" t="s">
        <v>316</v>
      </c>
      <c r="J412" s="31" t="s">
        <v>316</v>
      </c>
      <c r="K412" s="31" t="s">
        <v>316</v>
      </c>
      <c r="L412" s="32" t="str">
        <f t="shared" si="30"/>
        <v>INCLUDE</v>
      </c>
      <c r="M412" s="32" t="str">
        <f t="shared" si="31"/>
        <v/>
      </c>
      <c r="N412" s="33" t="s">
        <v>58</v>
      </c>
      <c r="O412" s="33" t="s">
        <v>58</v>
      </c>
      <c r="P412" s="34"/>
      <c r="Q412" s="34"/>
      <c r="R412" s="34"/>
      <c r="S412" s="32" t="str">
        <f t="shared" si="32"/>
        <v/>
      </c>
      <c r="T412" s="32" t="str">
        <f t="shared" si="33"/>
        <v/>
      </c>
      <c r="U412" s="35"/>
      <c r="V412" s="35"/>
      <c r="W412" s="35"/>
      <c r="X412" s="35"/>
      <c r="Y412" s="32" t="str">
        <f t="shared" si="34"/>
        <v/>
      </c>
      <c r="Z412" s="35"/>
      <c r="AA412" s="35"/>
      <c r="AB412" s="35"/>
      <c r="AC412" s="35"/>
      <c r="AD412" s="35"/>
      <c r="AE412" s="35"/>
      <c r="AF412" s="35"/>
      <c r="AG412" s="15" t="s">
        <v>718</v>
      </c>
    </row>
    <row r="413" spans="1:33" ht="114" x14ac:dyDescent="0.3">
      <c r="A413" s="30">
        <v>3515</v>
      </c>
      <c r="B413" s="9" t="s">
        <v>306</v>
      </c>
      <c r="C413" s="36">
        <v>2025</v>
      </c>
      <c r="D413" s="9"/>
      <c r="E413" s="9" t="s">
        <v>1144</v>
      </c>
      <c r="F413" s="30" t="s">
        <v>314</v>
      </c>
      <c r="G413" s="31" t="s">
        <v>316</v>
      </c>
      <c r="H413" s="31" t="s">
        <v>316</v>
      </c>
      <c r="I413" s="31" t="s">
        <v>316</v>
      </c>
      <c r="J413" s="31" t="s">
        <v>316</v>
      </c>
      <c r="K413" s="31" t="s">
        <v>316</v>
      </c>
      <c r="L413" s="32" t="str">
        <f t="shared" si="30"/>
        <v>INCLUDE</v>
      </c>
      <c r="M413" s="32" t="str">
        <f t="shared" si="31"/>
        <v/>
      </c>
      <c r="N413" s="33" t="s">
        <v>49</v>
      </c>
      <c r="O413" s="33" t="s">
        <v>49</v>
      </c>
      <c r="P413" s="34" t="s">
        <v>49</v>
      </c>
      <c r="Q413" s="34" t="s">
        <v>49</v>
      </c>
      <c r="R413" s="34" t="s">
        <v>49</v>
      </c>
      <c r="S413" s="32" t="str">
        <f t="shared" si="32"/>
        <v>INCLUDE</v>
      </c>
      <c r="T413" s="32" t="str">
        <f t="shared" si="33"/>
        <v/>
      </c>
      <c r="U413" s="35" t="s">
        <v>61</v>
      </c>
      <c r="V413" s="35">
        <v>0</v>
      </c>
      <c r="W413" s="35">
        <v>1</v>
      </c>
      <c r="X413" s="35">
        <v>0</v>
      </c>
      <c r="Y413" s="32" t="str">
        <f t="shared" si="34"/>
        <v>Single</v>
      </c>
      <c r="Z413" s="35" t="s">
        <v>9</v>
      </c>
      <c r="AA413" s="35" t="s">
        <v>53</v>
      </c>
      <c r="AB413" s="35" t="s">
        <v>54</v>
      </c>
      <c r="AC413" s="35" t="s">
        <v>64</v>
      </c>
      <c r="AD413" s="35" t="s">
        <v>65</v>
      </c>
      <c r="AE413" s="35">
        <v>4</v>
      </c>
      <c r="AF413" s="35" t="s">
        <v>73</v>
      </c>
      <c r="AG413" s="15" t="s">
        <v>719</v>
      </c>
    </row>
    <row r="414" spans="1:33" ht="22.8" x14ac:dyDescent="0.3">
      <c r="A414" s="30">
        <v>3972</v>
      </c>
      <c r="B414" s="9" t="s">
        <v>303</v>
      </c>
      <c r="C414" s="36">
        <v>2026</v>
      </c>
      <c r="D414" s="9"/>
      <c r="E414" s="9" t="s">
        <v>1145</v>
      </c>
      <c r="F414" s="30" t="s">
        <v>315</v>
      </c>
      <c r="G414" s="31" t="s">
        <v>316</v>
      </c>
      <c r="H414" s="31" t="s">
        <v>316</v>
      </c>
      <c r="I414" s="31" t="s">
        <v>316</v>
      </c>
      <c r="J414" s="31" t="s">
        <v>316</v>
      </c>
      <c r="K414" s="31" t="s">
        <v>316</v>
      </c>
      <c r="L414" s="32" t="str">
        <f t="shared" si="30"/>
        <v>INCLUDE</v>
      </c>
      <c r="M414" s="32" t="str">
        <f t="shared" si="31"/>
        <v/>
      </c>
      <c r="N414" s="33" t="s">
        <v>58</v>
      </c>
      <c r="O414" s="33" t="s">
        <v>58</v>
      </c>
      <c r="P414" s="34"/>
      <c r="Q414" s="34"/>
      <c r="R414" s="34"/>
      <c r="S414" s="32" t="str">
        <f t="shared" si="32"/>
        <v/>
      </c>
      <c r="T414" s="32" t="str">
        <f t="shared" si="33"/>
        <v/>
      </c>
      <c r="U414" s="35"/>
      <c r="V414" s="35"/>
      <c r="W414" s="35"/>
      <c r="X414" s="35"/>
      <c r="Y414" s="32" t="str">
        <f t="shared" si="34"/>
        <v/>
      </c>
      <c r="Z414" s="35"/>
      <c r="AA414" s="35"/>
      <c r="AB414" s="35"/>
      <c r="AC414" s="35"/>
      <c r="AD414" s="35"/>
      <c r="AE414" s="35"/>
      <c r="AF414" s="35"/>
      <c r="AG414" s="15" t="s">
        <v>720</v>
      </c>
    </row>
    <row r="415" spans="1:33" ht="102.6" x14ac:dyDescent="0.3">
      <c r="A415" s="30">
        <v>3863</v>
      </c>
      <c r="B415" s="9" t="s">
        <v>306</v>
      </c>
      <c r="C415" s="36">
        <v>2025</v>
      </c>
      <c r="D415" s="9"/>
      <c r="E415" s="9" t="s">
        <v>1146</v>
      </c>
      <c r="F415" s="30" t="s">
        <v>314</v>
      </c>
      <c r="G415" s="31" t="s">
        <v>316</v>
      </c>
      <c r="H415" s="31" t="s">
        <v>316</v>
      </c>
      <c r="I415" s="31" t="s">
        <v>316</v>
      </c>
      <c r="J415" s="31" t="s">
        <v>316</v>
      </c>
      <c r="K415" s="31" t="s">
        <v>316</v>
      </c>
      <c r="L415" s="32" t="str">
        <f t="shared" si="30"/>
        <v>INCLUDE</v>
      </c>
      <c r="M415" s="32" t="str">
        <f t="shared" si="31"/>
        <v/>
      </c>
      <c r="N415" s="33" t="s">
        <v>49</v>
      </c>
      <c r="O415" s="33" t="s">
        <v>49</v>
      </c>
      <c r="P415" s="34" t="s">
        <v>49</v>
      </c>
      <c r="Q415" s="34" t="s">
        <v>49</v>
      </c>
      <c r="R415" s="34" t="s">
        <v>49</v>
      </c>
      <c r="S415" s="32" t="str">
        <f t="shared" si="32"/>
        <v>INCLUDE</v>
      </c>
      <c r="T415" s="32" t="str">
        <f t="shared" si="33"/>
        <v/>
      </c>
      <c r="U415" s="35" t="s">
        <v>61</v>
      </c>
      <c r="V415" s="35">
        <v>0</v>
      </c>
      <c r="W415" s="35">
        <v>0</v>
      </c>
      <c r="X415" s="35">
        <v>1</v>
      </c>
      <c r="Y415" s="32" t="str">
        <f t="shared" si="34"/>
        <v>Single</v>
      </c>
      <c r="Z415" s="35" t="s">
        <v>9</v>
      </c>
      <c r="AA415" s="35" t="s">
        <v>53</v>
      </c>
      <c r="AB415" s="35" t="s">
        <v>78</v>
      </c>
      <c r="AC415" s="35" t="s">
        <v>64</v>
      </c>
      <c r="AD415" s="35" t="s">
        <v>79</v>
      </c>
      <c r="AE415" s="35">
        <v>4</v>
      </c>
      <c r="AF415" s="35" t="s">
        <v>84</v>
      </c>
      <c r="AG415" s="15" t="s">
        <v>721</v>
      </c>
    </row>
    <row r="416" spans="1:33" ht="22.8" x14ac:dyDescent="0.3">
      <c r="A416" s="30">
        <v>3700</v>
      </c>
      <c r="B416" s="9"/>
      <c r="C416" s="36"/>
      <c r="D416" s="9"/>
      <c r="E416" s="9" t="s">
        <v>1147</v>
      </c>
      <c r="F416" s="30" t="s">
        <v>314</v>
      </c>
      <c r="G416" s="31" t="s">
        <v>316</v>
      </c>
      <c r="H416" s="31" t="s">
        <v>316</v>
      </c>
      <c r="I416" s="31" t="s">
        <v>316</v>
      </c>
      <c r="J416" s="31" t="s">
        <v>316</v>
      </c>
      <c r="K416" s="31" t="s">
        <v>317</v>
      </c>
      <c r="L416" s="32" t="str">
        <f t="shared" si="30"/>
        <v>EXCLUDE</v>
      </c>
      <c r="M416" s="32" t="str">
        <f t="shared" si="31"/>
        <v>Non-English</v>
      </c>
      <c r="N416" s="33"/>
      <c r="O416" s="33"/>
      <c r="P416" s="34"/>
      <c r="Q416" s="34"/>
      <c r="R416" s="34"/>
      <c r="S416" s="32" t="str">
        <f t="shared" si="32"/>
        <v/>
      </c>
      <c r="T416" s="32" t="str">
        <f t="shared" si="33"/>
        <v/>
      </c>
      <c r="U416" s="35"/>
      <c r="V416" s="35"/>
      <c r="W416" s="35"/>
      <c r="X416" s="35"/>
      <c r="Y416" s="32" t="str">
        <f t="shared" si="34"/>
        <v/>
      </c>
      <c r="Z416" s="35"/>
      <c r="AA416" s="35"/>
      <c r="AB416" s="35"/>
      <c r="AC416" s="35"/>
      <c r="AD416" s="35"/>
      <c r="AE416" s="35"/>
      <c r="AF416" s="35"/>
      <c r="AG416" s="15" t="s">
        <v>722</v>
      </c>
    </row>
    <row r="417" spans="1:33" ht="22.8" x14ac:dyDescent="0.3">
      <c r="A417" s="30">
        <v>3923</v>
      </c>
      <c r="B417" s="9" t="s">
        <v>305</v>
      </c>
      <c r="C417" s="36">
        <v>2022</v>
      </c>
      <c r="D417" s="9"/>
      <c r="E417" s="9" t="s">
        <v>1148</v>
      </c>
      <c r="F417" s="30" t="s">
        <v>315</v>
      </c>
      <c r="G417" s="31" t="s">
        <v>316</v>
      </c>
      <c r="H417" s="31" t="s">
        <v>316</v>
      </c>
      <c r="I417" s="31" t="s">
        <v>316</v>
      </c>
      <c r="J417" s="31" t="s">
        <v>316</v>
      </c>
      <c r="K417" s="31" t="s">
        <v>316</v>
      </c>
      <c r="L417" s="32" t="str">
        <f t="shared" si="30"/>
        <v>INCLUDE</v>
      </c>
      <c r="M417" s="32" t="str">
        <f t="shared" si="31"/>
        <v/>
      </c>
      <c r="N417" s="33" t="s">
        <v>58</v>
      </c>
      <c r="O417" s="33" t="s">
        <v>58</v>
      </c>
      <c r="P417" s="34"/>
      <c r="Q417" s="34"/>
      <c r="R417" s="34"/>
      <c r="S417" s="32" t="str">
        <f t="shared" si="32"/>
        <v/>
      </c>
      <c r="T417" s="32" t="str">
        <f t="shared" si="33"/>
        <v/>
      </c>
      <c r="U417" s="35"/>
      <c r="V417" s="35"/>
      <c r="W417" s="35"/>
      <c r="X417" s="35"/>
      <c r="Y417" s="32" t="str">
        <f t="shared" si="34"/>
        <v/>
      </c>
      <c r="Z417" s="35"/>
      <c r="AA417" s="35"/>
      <c r="AB417" s="35"/>
      <c r="AC417" s="35"/>
      <c r="AD417" s="35"/>
      <c r="AE417" s="35"/>
      <c r="AF417" s="35"/>
      <c r="AG417" s="15" t="s">
        <v>723</v>
      </c>
    </row>
    <row r="418" spans="1:33" ht="22.8" x14ac:dyDescent="0.3">
      <c r="A418" s="30">
        <v>4014</v>
      </c>
      <c r="B418" s="9"/>
      <c r="C418" s="36"/>
      <c r="D418" s="9"/>
      <c r="E418" s="9" t="s">
        <v>1149</v>
      </c>
      <c r="F418" s="30" t="s">
        <v>315</v>
      </c>
      <c r="G418" s="31" t="s">
        <v>317</v>
      </c>
      <c r="H418" s="31" t="s">
        <v>316</v>
      </c>
      <c r="I418" s="31" t="s">
        <v>317</v>
      </c>
      <c r="J418" s="31" t="s">
        <v>316</v>
      </c>
      <c r="K418" s="31" t="s">
        <v>316</v>
      </c>
      <c r="L418" s="32" t="str">
        <f t="shared" si="30"/>
        <v>EXCLUDE</v>
      </c>
      <c r="M418" s="32" t="str">
        <f t="shared" si="31"/>
        <v>Wrong domain (non-AECO)</v>
      </c>
      <c r="N418" s="33"/>
      <c r="O418" s="33"/>
      <c r="P418" s="34"/>
      <c r="Q418" s="34"/>
      <c r="R418" s="34"/>
      <c r="S418" s="32" t="str">
        <f t="shared" si="32"/>
        <v/>
      </c>
      <c r="T418" s="32" t="str">
        <f t="shared" si="33"/>
        <v/>
      </c>
      <c r="U418" s="35"/>
      <c r="V418" s="35"/>
      <c r="W418" s="35"/>
      <c r="X418" s="35"/>
      <c r="Y418" s="32" t="str">
        <f t="shared" si="34"/>
        <v/>
      </c>
      <c r="Z418" s="35"/>
      <c r="AA418" s="35"/>
      <c r="AB418" s="35"/>
      <c r="AC418" s="35"/>
      <c r="AD418" s="35"/>
      <c r="AE418" s="35"/>
      <c r="AF418" s="35"/>
      <c r="AG418" s="15" t="s">
        <v>724</v>
      </c>
    </row>
    <row r="419" spans="1:33" x14ac:dyDescent="0.3">
      <c r="A419" s="30">
        <v>3943</v>
      </c>
      <c r="B419" s="9" t="s">
        <v>307</v>
      </c>
      <c r="C419" s="36">
        <v>2022</v>
      </c>
      <c r="D419" s="9"/>
      <c r="E419" s="9" t="s">
        <v>1150</v>
      </c>
      <c r="F419" s="30" t="s">
        <v>315</v>
      </c>
      <c r="G419" s="31" t="s">
        <v>316</v>
      </c>
      <c r="H419" s="31" t="s">
        <v>316</v>
      </c>
      <c r="I419" s="31" t="s">
        <v>316</v>
      </c>
      <c r="J419" s="31" t="s">
        <v>316</v>
      </c>
      <c r="K419" s="31" t="s">
        <v>316</v>
      </c>
      <c r="L419" s="32" t="str">
        <f t="shared" si="30"/>
        <v>INCLUDE</v>
      </c>
      <c r="M419" s="32" t="str">
        <f t="shared" si="31"/>
        <v/>
      </c>
      <c r="N419" s="33" t="s">
        <v>58</v>
      </c>
      <c r="O419" s="33" t="s">
        <v>58</v>
      </c>
      <c r="P419" s="34"/>
      <c r="Q419" s="34"/>
      <c r="R419" s="34"/>
      <c r="S419" s="32" t="str">
        <f t="shared" si="32"/>
        <v/>
      </c>
      <c r="T419" s="32" t="str">
        <f t="shared" si="33"/>
        <v/>
      </c>
      <c r="U419" s="35"/>
      <c r="V419" s="35"/>
      <c r="W419" s="35"/>
      <c r="X419" s="35"/>
      <c r="Y419" s="32" t="str">
        <f t="shared" si="34"/>
        <v/>
      </c>
      <c r="Z419" s="35"/>
      <c r="AA419" s="35"/>
      <c r="AB419" s="35"/>
      <c r="AC419" s="35"/>
      <c r="AD419" s="35"/>
      <c r="AE419" s="35"/>
      <c r="AF419" s="35"/>
      <c r="AG419" s="15" t="s">
        <v>725</v>
      </c>
    </row>
    <row r="420" spans="1:33" ht="22.8" x14ac:dyDescent="0.3">
      <c r="A420" s="30">
        <v>3858</v>
      </c>
      <c r="B420" s="9"/>
      <c r="C420" s="36"/>
      <c r="D420" s="9"/>
      <c r="E420" s="9" t="s">
        <v>1151</v>
      </c>
      <c r="F420" s="30" t="s">
        <v>314</v>
      </c>
      <c r="G420" s="31" t="s">
        <v>316</v>
      </c>
      <c r="H420" s="31" t="s">
        <v>317</v>
      </c>
      <c r="I420" s="31" t="s">
        <v>316</v>
      </c>
      <c r="J420" s="31" t="s">
        <v>316</v>
      </c>
      <c r="K420" s="31" t="s">
        <v>317</v>
      </c>
      <c r="L420" s="32" t="str">
        <f t="shared" si="30"/>
        <v>EXCLUDE</v>
      </c>
      <c r="M420" s="32" t="str">
        <f t="shared" si="31"/>
        <v>Digital Twin not core / buzzword</v>
      </c>
      <c r="N420" s="33"/>
      <c r="O420" s="33"/>
      <c r="P420" s="34"/>
      <c r="Q420" s="34"/>
      <c r="R420" s="34"/>
      <c r="S420" s="32" t="str">
        <f t="shared" si="32"/>
        <v/>
      </c>
      <c r="T420" s="32" t="str">
        <f t="shared" si="33"/>
        <v/>
      </c>
      <c r="U420" s="35"/>
      <c r="V420" s="35"/>
      <c r="W420" s="35"/>
      <c r="X420" s="35"/>
      <c r="Y420" s="32" t="str">
        <f t="shared" si="34"/>
        <v/>
      </c>
      <c r="Z420" s="35"/>
      <c r="AA420" s="35"/>
      <c r="AB420" s="35"/>
      <c r="AC420" s="35"/>
      <c r="AD420" s="35"/>
      <c r="AE420" s="35"/>
      <c r="AF420" s="35"/>
      <c r="AG420" s="15" t="s">
        <v>726</v>
      </c>
    </row>
    <row r="421" spans="1:33" ht="102.6" x14ac:dyDescent="0.3">
      <c r="A421" s="30">
        <v>3773</v>
      </c>
      <c r="B421" s="9" t="s">
        <v>308</v>
      </c>
      <c r="C421" s="36">
        <v>2021</v>
      </c>
      <c r="D421" s="9"/>
      <c r="E421" s="9" t="s">
        <v>1152</v>
      </c>
      <c r="F421" s="30" t="s">
        <v>314</v>
      </c>
      <c r="G421" s="31" t="s">
        <v>316</v>
      </c>
      <c r="H421" s="31" t="s">
        <v>316</v>
      </c>
      <c r="I421" s="31" t="s">
        <v>316</v>
      </c>
      <c r="J421" s="31" t="s">
        <v>316</v>
      </c>
      <c r="K421" s="31" t="s">
        <v>316</v>
      </c>
      <c r="L421" s="32" t="str">
        <f t="shared" si="30"/>
        <v>INCLUDE</v>
      </c>
      <c r="M421" s="32" t="str">
        <f t="shared" si="31"/>
        <v/>
      </c>
      <c r="N421" s="33" t="s">
        <v>49</v>
      </c>
      <c r="O421" s="33" t="s">
        <v>49</v>
      </c>
      <c r="P421" s="34" t="s">
        <v>49</v>
      </c>
      <c r="Q421" s="34" t="s">
        <v>49</v>
      </c>
      <c r="R421" s="34" t="s">
        <v>49</v>
      </c>
      <c r="S421" s="32" t="str">
        <f t="shared" si="32"/>
        <v>INCLUDE</v>
      </c>
      <c r="T421" s="32" t="str">
        <f t="shared" si="33"/>
        <v/>
      </c>
      <c r="U421" s="35" t="s">
        <v>61</v>
      </c>
      <c r="V421" s="35">
        <v>0</v>
      </c>
      <c r="W421" s="35">
        <v>1</v>
      </c>
      <c r="X421" s="35">
        <v>0</v>
      </c>
      <c r="Y421" s="32" t="str">
        <f t="shared" si="34"/>
        <v>Single</v>
      </c>
      <c r="Z421" s="35" t="s">
        <v>9</v>
      </c>
      <c r="AA421" s="35" t="s">
        <v>53</v>
      </c>
      <c r="AB421" s="35" t="s">
        <v>90</v>
      </c>
      <c r="AC421" s="35" t="s">
        <v>64</v>
      </c>
      <c r="AD421" s="35" t="s">
        <v>72</v>
      </c>
      <c r="AE421" s="35">
        <v>3</v>
      </c>
      <c r="AF421" s="35" t="s">
        <v>80</v>
      </c>
      <c r="AG421" s="15" t="s">
        <v>727</v>
      </c>
    </row>
    <row r="422" spans="1:33" ht="22.8" x14ac:dyDescent="0.3">
      <c r="A422" s="30">
        <v>4039</v>
      </c>
      <c r="B422" s="9" t="s">
        <v>309</v>
      </c>
      <c r="C422" s="36">
        <v>2022</v>
      </c>
      <c r="D422" s="9"/>
      <c r="E422" s="9" t="s">
        <v>1153</v>
      </c>
      <c r="F422" s="30" t="s">
        <v>315</v>
      </c>
      <c r="G422" s="31" t="s">
        <v>316</v>
      </c>
      <c r="H422" s="31" t="s">
        <v>316</v>
      </c>
      <c r="I422" s="31" t="s">
        <v>316</v>
      </c>
      <c r="J422" s="31" t="s">
        <v>316</v>
      </c>
      <c r="K422" s="31" t="s">
        <v>316</v>
      </c>
      <c r="L422" s="32" t="str">
        <f t="shared" si="30"/>
        <v>INCLUDE</v>
      </c>
      <c r="M422" s="32" t="str">
        <f t="shared" si="31"/>
        <v/>
      </c>
      <c r="N422" s="33" t="s">
        <v>58</v>
      </c>
      <c r="O422" s="33" t="s">
        <v>58</v>
      </c>
      <c r="P422" s="34"/>
      <c r="Q422" s="34"/>
      <c r="R422" s="34"/>
      <c r="S422" s="32" t="str">
        <f t="shared" si="32"/>
        <v/>
      </c>
      <c r="T422" s="32" t="str">
        <f t="shared" si="33"/>
        <v/>
      </c>
      <c r="U422" s="35"/>
      <c r="V422" s="35"/>
      <c r="W422" s="35"/>
      <c r="X422" s="35"/>
      <c r="Y422" s="32" t="str">
        <f t="shared" si="34"/>
        <v/>
      </c>
      <c r="Z422" s="35"/>
      <c r="AA422" s="35"/>
      <c r="AB422" s="35"/>
      <c r="AC422" s="35"/>
      <c r="AD422" s="35"/>
      <c r="AE422" s="35"/>
      <c r="AF422" s="35"/>
      <c r="AG422" s="15" t="s">
        <v>728</v>
      </c>
    </row>
    <row r="423" spans="1:33" ht="22.8" x14ac:dyDescent="0.3">
      <c r="A423" s="30">
        <v>3564</v>
      </c>
      <c r="B423" s="9"/>
      <c r="C423" s="36"/>
      <c r="D423" s="9"/>
      <c r="E423" s="9" t="s">
        <v>1154</v>
      </c>
      <c r="F423" s="30" t="s">
        <v>314</v>
      </c>
      <c r="G423" s="31" t="s">
        <v>316</v>
      </c>
      <c r="H423" s="31" t="s">
        <v>317</v>
      </c>
      <c r="I423" s="31" t="s">
        <v>316</v>
      </c>
      <c r="J423" s="31" t="s">
        <v>316</v>
      </c>
      <c r="K423" s="31" t="s">
        <v>316</v>
      </c>
      <c r="L423" s="32" t="str">
        <f t="shared" si="30"/>
        <v>EXCLUDE</v>
      </c>
      <c r="M423" s="32" t="str">
        <f t="shared" si="31"/>
        <v>Digital Twin not core / buzzword</v>
      </c>
      <c r="N423" s="33"/>
      <c r="O423" s="33"/>
      <c r="P423" s="34"/>
      <c r="Q423" s="34"/>
      <c r="R423" s="34"/>
      <c r="S423" s="32" t="str">
        <f t="shared" si="32"/>
        <v/>
      </c>
      <c r="T423" s="32" t="str">
        <f t="shared" si="33"/>
        <v/>
      </c>
      <c r="U423" s="35"/>
      <c r="V423" s="35"/>
      <c r="W423" s="35"/>
      <c r="X423" s="35"/>
      <c r="Y423" s="32" t="str">
        <f t="shared" si="34"/>
        <v/>
      </c>
      <c r="Z423" s="35"/>
      <c r="AA423" s="35"/>
      <c r="AB423" s="35"/>
      <c r="AC423" s="35"/>
      <c r="AD423" s="35"/>
      <c r="AE423" s="35"/>
      <c r="AF423" s="35"/>
      <c r="AG423" s="15" t="s">
        <v>729</v>
      </c>
    </row>
    <row r="424" spans="1:33" ht="114" x14ac:dyDescent="0.3">
      <c r="A424" s="30">
        <v>3852</v>
      </c>
      <c r="B424" s="9" t="s">
        <v>310</v>
      </c>
      <c r="C424" s="36">
        <v>2023</v>
      </c>
      <c r="D424" s="9"/>
      <c r="E424" s="9" t="s">
        <v>1155</v>
      </c>
      <c r="F424" s="30" t="s">
        <v>314</v>
      </c>
      <c r="G424" s="31" t="s">
        <v>316</v>
      </c>
      <c r="H424" s="31" t="s">
        <v>316</v>
      </c>
      <c r="I424" s="31" t="s">
        <v>316</v>
      </c>
      <c r="J424" s="31" t="s">
        <v>316</v>
      </c>
      <c r="K424" s="31" t="s">
        <v>316</v>
      </c>
      <c r="L424" s="32" t="str">
        <f t="shared" si="30"/>
        <v>INCLUDE</v>
      </c>
      <c r="M424" s="32" t="str">
        <f t="shared" si="31"/>
        <v/>
      </c>
      <c r="N424" s="33" t="s">
        <v>49</v>
      </c>
      <c r="O424" s="33" t="s">
        <v>49</v>
      </c>
      <c r="P424" s="34" t="s">
        <v>49</v>
      </c>
      <c r="Q424" s="34" t="s">
        <v>49</v>
      </c>
      <c r="R424" s="34" t="s">
        <v>49</v>
      </c>
      <c r="S424" s="32" t="str">
        <f t="shared" si="32"/>
        <v>INCLUDE</v>
      </c>
      <c r="T424" s="32" t="str">
        <f t="shared" si="33"/>
        <v/>
      </c>
      <c r="U424" s="35" t="s">
        <v>61</v>
      </c>
      <c r="V424" s="35">
        <v>0</v>
      </c>
      <c r="W424" s="35">
        <v>0</v>
      </c>
      <c r="X424" s="35">
        <v>1</v>
      </c>
      <c r="Y424" s="32" t="str">
        <f t="shared" si="34"/>
        <v>Single</v>
      </c>
      <c r="Z424" s="35" t="s">
        <v>9</v>
      </c>
      <c r="AA424" s="35" t="s">
        <v>53</v>
      </c>
      <c r="AB424" s="35" t="s">
        <v>90</v>
      </c>
      <c r="AC424" s="35" t="s">
        <v>64</v>
      </c>
      <c r="AD424" s="35" t="s">
        <v>72</v>
      </c>
      <c r="AE424" s="35">
        <v>4</v>
      </c>
      <c r="AF424" s="35" t="s">
        <v>84</v>
      </c>
      <c r="AG424" s="15" t="s">
        <v>730</v>
      </c>
    </row>
    <row r="425" spans="1:33" ht="22.8" x14ac:dyDescent="0.3">
      <c r="A425" s="30">
        <v>3703</v>
      </c>
      <c r="B425" s="9"/>
      <c r="C425" s="36"/>
      <c r="D425" s="9"/>
      <c r="E425" s="9" t="s">
        <v>1156</v>
      </c>
      <c r="F425" s="30" t="s">
        <v>314</v>
      </c>
      <c r="G425" s="31" t="s">
        <v>317</v>
      </c>
      <c r="H425" s="31" t="s">
        <v>316</v>
      </c>
      <c r="I425" s="31" t="s">
        <v>316</v>
      </c>
      <c r="J425" s="31" t="s">
        <v>316</v>
      </c>
      <c r="K425" s="31" t="s">
        <v>316</v>
      </c>
      <c r="L425" s="32" t="str">
        <f t="shared" si="30"/>
        <v>EXCLUDE</v>
      </c>
      <c r="M425" s="32" t="str">
        <f t="shared" si="31"/>
        <v>Wrong domain (non-AECO)</v>
      </c>
      <c r="N425" s="33"/>
      <c r="O425" s="33"/>
      <c r="P425" s="34"/>
      <c r="Q425" s="34"/>
      <c r="R425" s="34"/>
      <c r="S425" s="32" t="str">
        <f t="shared" si="32"/>
        <v/>
      </c>
      <c r="T425" s="32" t="str">
        <f t="shared" si="33"/>
        <v/>
      </c>
      <c r="U425" s="35"/>
      <c r="V425" s="35"/>
      <c r="W425" s="35"/>
      <c r="X425" s="35"/>
      <c r="Y425" s="32" t="str">
        <f t="shared" si="34"/>
        <v/>
      </c>
      <c r="Z425" s="35"/>
      <c r="AA425" s="35"/>
      <c r="AB425" s="35"/>
      <c r="AC425" s="35"/>
      <c r="AD425" s="35"/>
      <c r="AE425" s="35"/>
      <c r="AF425" s="35"/>
      <c r="AG425" s="15" t="s">
        <v>731</v>
      </c>
    </row>
    <row r="426" spans="1:33" ht="22.8" x14ac:dyDescent="0.3">
      <c r="A426" s="30">
        <v>3687</v>
      </c>
      <c r="B426" s="9"/>
      <c r="C426" s="36"/>
      <c r="D426" s="9"/>
      <c r="E426" s="9" t="s">
        <v>1157</v>
      </c>
      <c r="F426" s="30" t="s">
        <v>314</v>
      </c>
      <c r="G426" s="31" t="s">
        <v>316</v>
      </c>
      <c r="H426" s="31" t="s">
        <v>317</v>
      </c>
      <c r="I426" s="31" t="s">
        <v>317</v>
      </c>
      <c r="J426" s="31" t="s">
        <v>316</v>
      </c>
      <c r="K426" s="31" t="s">
        <v>316</v>
      </c>
      <c r="L426" s="32" t="str">
        <f t="shared" si="30"/>
        <v>EXCLUDE</v>
      </c>
      <c r="M426" s="32" t="str">
        <f t="shared" si="31"/>
        <v>Digital Twin not core / buzzword</v>
      </c>
      <c r="N426" s="33"/>
      <c r="O426" s="33"/>
      <c r="P426" s="34"/>
      <c r="Q426" s="34"/>
      <c r="R426" s="34"/>
      <c r="S426" s="32" t="str">
        <f t="shared" si="32"/>
        <v/>
      </c>
      <c r="T426" s="32" t="str">
        <f t="shared" si="33"/>
        <v/>
      </c>
      <c r="U426" s="35"/>
      <c r="V426" s="35"/>
      <c r="W426" s="35"/>
      <c r="X426" s="35"/>
      <c r="Y426" s="32" t="str">
        <f t="shared" si="34"/>
        <v/>
      </c>
      <c r="Z426" s="35"/>
      <c r="AA426" s="35"/>
      <c r="AB426" s="35"/>
      <c r="AC426" s="35"/>
      <c r="AD426" s="35"/>
      <c r="AE426" s="35"/>
      <c r="AF426" s="35"/>
      <c r="AG426" s="15" t="s">
        <v>732</v>
      </c>
    </row>
    <row r="427" spans="1:33" ht="22.8" x14ac:dyDescent="0.3">
      <c r="A427" s="30">
        <v>3951</v>
      </c>
      <c r="B427" s="9" t="s">
        <v>311</v>
      </c>
      <c r="C427" s="36">
        <v>2024</v>
      </c>
      <c r="D427" s="9"/>
      <c r="E427" s="9" t="s">
        <v>1158</v>
      </c>
      <c r="F427" s="30" t="s">
        <v>315</v>
      </c>
      <c r="G427" s="31" t="s">
        <v>316</v>
      </c>
      <c r="H427" s="31" t="s">
        <v>316</v>
      </c>
      <c r="I427" s="31" t="s">
        <v>316</v>
      </c>
      <c r="J427" s="31" t="s">
        <v>316</v>
      </c>
      <c r="K427" s="31" t="s">
        <v>316</v>
      </c>
      <c r="L427" s="32" t="str">
        <f t="shared" si="30"/>
        <v>INCLUDE</v>
      </c>
      <c r="M427" s="32" t="str">
        <f t="shared" si="31"/>
        <v/>
      </c>
      <c r="N427" s="33" t="s">
        <v>58</v>
      </c>
      <c r="O427" s="33" t="s">
        <v>58</v>
      </c>
      <c r="P427" s="34"/>
      <c r="Q427" s="34"/>
      <c r="R427" s="34"/>
      <c r="S427" s="32" t="str">
        <f t="shared" si="32"/>
        <v/>
      </c>
      <c r="T427" s="32" t="str">
        <f t="shared" si="33"/>
        <v/>
      </c>
      <c r="U427" s="35"/>
      <c r="V427" s="35"/>
      <c r="W427" s="35"/>
      <c r="X427" s="35"/>
      <c r="Y427" s="32" t="str">
        <f t="shared" si="34"/>
        <v/>
      </c>
      <c r="Z427" s="35"/>
      <c r="AA427" s="35"/>
      <c r="AB427" s="35"/>
      <c r="AC427" s="35"/>
      <c r="AD427" s="35"/>
      <c r="AE427" s="35"/>
      <c r="AF427" s="35"/>
      <c r="AG427" s="15" t="s">
        <v>733</v>
      </c>
    </row>
    <row r="428" spans="1:33" ht="114" x14ac:dyDescent="0.3">
      <c r="A428" s="30">
        <v>3885</v>
      </c>
      <c r="B428" s="9" t="s">
        <v>299</v>
      </c>
      <c r="C428" s="36">
        <v>2024</v>
      </c>
      <c r="D428" s="9"/>
      <c r="E428" s="9" t="s">
        <v>1159</v>
      </c>
      <c r="F428" s="30" t="s">
        <v>315</v>
      </c>
      <c r="G428" s="31" t="s">
        <v>316</v>
      </c>
      <c r="H428" s="31" t="s">
        <v>316</v>
      </c>
      <c r="I428" s="31" t="s">
        <v>316</v>
      </c>
      <c r="J428" s="31" t="s">
        <v>316</v>
      </c>
      <c r="K428" s="31" t="s">
        <v>316</v>
      </c>
      <c r="L428" s="32" t="str">
        <f t="shared" si="30"/>
        <v>INCLUDE</v>
      </c>
      <c r="M428" s="32" t="str">
        <f t="shared" si="31"/>
        <v/>
      </c>
      <c r="N428" s="33" t="s">
        <v>49</v>
      </c>
      <c r="O428" s="33" t="s">
        <v>49</v>
      </c>
      <c r="P428" s="34" t="s">
        <v>49</v>
      </c>
      <c r="Q428" s="34" t="s">
        <v>49</v>
      </c>
      <c r="R428" s="34" t="s">
        <v>49</v>
      </c>
      <c r="S428" s="32" t="str">
        <f t="shared" si="32"/>
        <v>INCLUDE</v>
      </c>
      <c r="T428" s="32" t="str">
        <f t="shared" si="33"/>
        <v/>
      </c>
      <c r="U428" s="35" t="s">
        <v>61</v>
      </c>
      <c r="V428" s="35">
        <v>0</v>
      </c>
      <c r="W428" s="35">
        <v>1</v>
      </c>
      <c r="X428" s="35">
        <v>0</v>
      </c>
      <c r="Y428" s="32" t="str">
        <f t="shared" si="34"/>
        <v>Single</v>
      </c>
      <c r="Z428" s="35" t="s">
        <v>9</v>
      </c>
      <c r="AA428" s="35" t="s">
        <v>53</v>
      </c>
      <c r="AB428" s="35" t="s">
        <v>92</v>
      </c>
      <c r="AC428" s="35" t="s">
        <v>64</v>
      </c>
      <c r="AD428" s="35" t="s">
        <v>72</v>
      </c>
      <c r="AE428" s="35">
        <v>3</v>
      </c>
      <c r="AF428" s="35" t="s">
        <v>86</v>
      </c>
      <c r="AG428" s="15" t="s">
        <v>734</v>
      </c>
    </row>
    <row r="429" spans="1:33" ht="125.4" x14ac:dyDescent="0.3">
      <c r="A429" s="30">
        <v>3875</v>
      </c>
      <c r="B429" s="9" t="s">
        <v>312</v>
      </c>
      <c r="C429" s="36">
        <v>2023</v>
      </c>
      <c r="D429" s="9"/>
      <c r="E429" s="9" t="s">
        <v>1160</v>
      </c>
      <c r="F429" s="30" t="s">
        <v>315</v>
      </c>
      <c r="G429" s="31" t="s">
        <v>316</v>
      </c>
      <c r="H429" s="31" t="s">
        <v>316</v>
      </c>
      <c r="I429" s="31" t="s">
        <v>316</v>
      </c>
      <c r="J429" s="31" t="s">
        <v>316</v>
      </c>
      <c r="K429" s="31" t="s">
        <v>316</v>
      </c>
      <c r="L429" s="32" t="str">
        <f t="shared" si="30"/>
        <v>INCLUDE</v>
      </c>
      <c r="M429" s="32" t="str">
        <f t="shared" si="31"/>
        <v/>
      </c>
      <c r="N429" s="33" t="s">
        <v>49</v>
      </c>
      <c r="O429" s="33" t="s">
        <v>49</v>
      </c>
      <c r="P429" s="34" t="s">
        <v>49</v>
      </c>
      <c r="Q429" s="34" t="s">
        <v>49</v>
      </c>
      <c r="R429" s="34" t="s">
        <v>49</v>
      </c>
      <c r="S429" s="32" t="str">
        <f t="shared" si="32"/>
        <v>INCLUDE</v>
      </c>
      <c r="T429" s="32" t="str">
        <f t="shared" si="33"/>
        <v/>
      </c>
      <c r="U429" s="35" t="s">
        <v>61</v>
      </c>
      <c r="V429" s="35">
        <v>0</v>
      </c>
      <c r="W429" s="35">
        <v>1</v>
      </c>
      <c r="X429" s="35">
        <v>0</v>
      </c>
      <c r="Y429" s="32" t="str">
        <f t="shared" si="34"/>
        <v>Single</v>
      </c>
      <c r="Z429" s="35" t="s">
        <v>9</v>
      </c>
      <c r="AA429" s="35" t="s">
        <v>53</v>
      </c>
      <c r="AB429" s="35" t="s">
        <v>90</v>
      </c>
      <c r="AC429" s="35" t="s">
        <v>64</v>
      </c>
      <c r="AD429" s="35" t="s">
        <v>72</v>
      </c>
      <c r="AE429" s="35">
        <v>4</v>
      </c>
      <c r="AF429" s="35" t="s">
        <v>80</v>
      </c>
      <c r="AG429" s="15" t="s">
        <v>735</v>
      </c>
    </row>
    <row r="430" spans="1:33" ht="22.8" x14ac:dyDescent="0.3">
      <c r="A430" s="30">
        <v>3877</v>
      </c>
      <c r="B430" s="9" t="s">
        <v>313</v>
      </c>
      <c r="C430" s="36">
        <v>2026</v>
      </c>
      <c r="D430" s="9"/>
      <c r="E430" s="9" t="s">
        <v>1161</v>
      </c>
      <c r="F430" s="30" t="s">
        <v>315</v>
      </c>
      <c r="G430" s="31" t="s">
        <v>316</v>
      </c>
      <c r="H430" s="31" t="s">
        <v>316</v>
      </c>
      <c r="I430" s="31" t="s">
        <v>316</v>
      </c>
      <c r="J430" s="31" t="s">
        <v>316</v>
      </c>
      <c r="K430" s="31" t="s">
        <v>316</v>
      </c>
      <c r="L430" s="32" t="str">
        <f t="shared" si="30"/>
        <v>INCLUDE</v>
      </c>
      <c r="M430" s="32" t="str">
        <f t="shared" si="31"/>
        <v/>
      </c>
      <c r="N430" s="33" t="s">
        <v>58</v>
      </c>
      <c r="O430" s="33" t="s">
        <v>58</v>
      </c>
      <c r="P430" s="34"/>
      <c r="Q430" s="34"/>
      <c r="R430" s="34"/>
      <c r="S430" s="32" t="str">
        <f t="shared" si="32"/>
        <v/>
      </c>
      <c r="T430" s="32" t="str">
        <f t="shared" si="33"/>
        <v/>
      </c>
      <c r="U430" s="35"/>
      <c r="V430" s="35"/>
      <c r="W430" s="35"/>
      <c r="X430" s="35"/>
      <c r="Y430" s="32" t="str">
        <f t="shared" si="34"/>
        <v/>
      </c>
      <c r="Z430" s="35"/>
      <c r="AA430" s="35"/>
      <c r="AB430" s="35"/>
      <c r="AC430" s="35"/>
      <c r="AD430" s="35"/>
      <c r="AE430" s="35"/>
      <c r="AF430" s="35"/>
      <c r="AG430" s="15" t="s">
        <v>736</v>
      </c>
    </row>
    <row r="431" spans="1:33" x14ac:dyDescent="0.3">
      <c r="A431" s="8"/>
      <c r="B431" s="9"/>
      <c r="C431" s="8"/>
      <c r="D431" s="9"/>
      <c r="E431" s="9"/>
      <c r="F431" s="8"/>
      <c r="G431" s="10"/>
      <c r="H431" s="10"/>
      <c r="I431" s="10"/>
      <c r="J431" s="10"/>
      <c r="K431" s="10"/>
      <c r="L431" s="11"/>
      <c r="M431" s="11"/>
      <c r="N431" s="12"/>
      <c r="O431" s="12"/>
      <c r="P431" s="13"/>
      <c r="Q431" s="13"/>
      <c r="R431" s="13"/>
      <c r="S431" s="11"/>
      <c r="T431" s="11"/>
      <c r="U431" s="14"/>
      <c r="V431" s="14"/>
      <c r="W431" s="14"/>
      <c r="X431" s="14"/>
      <c r="Y431" s="11"/>
      <c r="Z431" s="14"/>
      <c r="AA431" s="14"/>
      <c r="AB431" s="14"/>
      <c r="AC431" s="14"/>
      <c r="AD431" s="14"/>
      <c r="AE431" s="14"/>
      <c r="AF431" s="14"/>
      <c r="AG431" s="15"/>
    </row>
    <row r="432" spans="1:33" x14ac:dyDescent="0.3">
      <c r="A432" s="8"/>
      <c r="B432" s="9"/>
      <c r="C432" s="8"/>
      <c r="D432" s="9"/>
      <c r="E432" s="9"/>
      <c r="F432" s="8"/>
      <c r="G432" s="10"/>
      <c r="H432" s="10"/>
      <c r="I432" s="10"/>
      <c r="J432" s="10"/>
      <c r="K432" s="10"/>
      <c r="L432" s="11"/>
      <c r="M432" s="11"/>
      <c r="N432" s="12"/>
      <c r="O432" s="12"/>
      <c r="P432" s="13"/>
      <c r="Q432" s="13"/>
      <c r="R432" s="13"/>
      <c r="S432" s="11"/>
      <c r="T432" s="11"/>
      <c r="U432" s="14"/>
      <c r="V432" s="14"/>
      <c r="W432" s="14"/>
      <c r="X432" s="14"/>
      <c r="Y432" s="11"/>
      <c r="Z432" s="14"/>
      <c r="AA432" s="14"/>
      <c r="AB432" s="14"/>
      <c r="AC432" s="14"/>
      <c r="AD432" s="14"/>
      <c r="AE432" s="14"/>
      <c r="AF432" s="14"/>
      <c r="AG432" s="15"/>
    </row>
    <row r="433" spans="1:33" x14ac:dyDescent="0.3">
      <c r="A433" s="8"/>
      <c r="B433" s="9"/>
      <c r="C433" s="8"/>
      <c r="D433" s="9"/>
      <c r="E433" s="9"/>
      <c r="F433" s="8"/>
      <c r="G433" s="10"/>
      <c r="H433" s="10"/>
      <c r="I433" s="10"/>
      <c r="J433" s="10"/>
      <c r="K433" s="10"/>
      <c r="L433" s="11"/>
      <c r="M433" s="11"/>
      <c r="N433" s="12"/>
      <c r="O433" s="12"/>
      <c r="P433" s="13"/>
      <c r="Q433" s="13"/>
      <c r="R433" s="13"/>
      <c r="S433" s="11"/>
      <c r="T433" s="11"/>
      <c r="U433" s="14"/>
      <c r="V433" s="14"/>
      <c r="W433" s="14"/>
      <c r="X433" s="14"/>
      <c r="Y433" s="11"/>
      <c r="Z433" s="14"/>
      <c r="AA433" s="14"/>
      <c r="AB433" s="14"/>
      <c r="AC433" s="14"/>
      <c r="AD433" s="14"/>
      <c r="AE433" s="14"/>
      <c r="AF433" s="14"/>
      <c r="AG433" s="15"/>
    </row>
    <row r="434" spans="1:33" x14ac:dyDescent="0.3">
      <c r="A434" s="8"/>
      <c r="B434" s="9"/>
      <c r="C434" s="8"/>
      <c r="D434" s="9"/>
      <c r="E434" s="9"/>
      <c r="F434" s="8"/>
      <c r="G434" s="10"/>
      <c r="H434" s="10"/>
      <c r="I434" s="10"/>
      <c r="J434" s="10"/>
      <c r="K434" s="10"/>
      <c r="L434" s="11"/>
      <c r="M434" s="11"/>
      <c r="N434" s="12"/>
      <c r="O434" s="12"/>
      <c r="P434" s="13"/>
      <c r="Q434" s="13"/>
      <c r="R434" s="13"/>
      <c r="S434" s="11"/>
      <c r="T434" s="11"/>
      <c r="U434" s="14"/>
      <c r="V434" s="14"/>
      <c r="W434" s="14"/>
      <c r="X434" s="14"/>
      <c r="Y434" s="11"/>
      <c r="Z434" s="14"/>
      <c r="AA434" s="14"/>
      <c r="AB434" s="14"/>
      <c r="AC434" s="14"/>
      <c r="AD434" s="14"/>
      <c r="AE434" s="14"/>
      <c r="AF434" s="14"/>
      <c r="AG434" s="15"/>
    </row>
    <row r="435" spans="1:33" x14ac:dyDescent="0.3">
      <c r="A435" s="8"/>
      <c r="B435" s="9"/>
      <c r="C435" s="8"/>
      <c r="D435" s="9"/>
      <c r="E435" s="9"/>
      <c r="F435" s="8"/>
      <c r="G435" s="10"/>
      <c r="H435" s="10"/>
      <c r="I435" s="10"/>
      <c r="J435" s="10"/>
      <c r="K435" s="10"/>
      <c r="L435" s="11"/>
      <c r="M435" s="11"/>
      <c r="N435" s="12"/>
      <c r="O435" s="12"/>
      <c r="P435" s="13"/>
      <c r="Q435" s="13"/>
      <c r="R435" s="13"/>
      <c r="S435" s="11"/>
      <c r="T435" s="11"/>
      <c r="U435" s="14"/>
      <c r="V435" s="14"/>
      <c r="W435" s="14"/>
      <c r="X435" s="14"/>
      <c r="Y435" s="11"/>
      <c r="Z435" s="14"/>
      <c r="AA435" s="14"/>
      <c r="AB435" s="14"/>
      <c r="AC435" s="14"/>
      <c r="AD435" s="14"/>
      <c r="AE435" s="14"/>
      <c r="AF435" s="14"/>
      <c r="AG435" s="15"/>
    </row>
    <row r="436" spans="1:33" x14ac:dyDescent="0.3">
      <c r="A436" s="8"/>
      <c r="B436" s="9"/>
      <c r="C436" s="8"/>
      <c r="D436" s="9"/>
      <c r="E436" s="9"/>
      <c r="F436" s="8"/>
      <c r="G436" s="10"/>
      <c r="H436" s="10"/>
      <c r="I436" s="10"/>
      <c r="J436" s="10"/>
      <c r="K436" s="10"/>
      <c r="L436" s="11"/>
      <c r="M436" s="11"/>
      <c r="N436" s="12"/>
      <c r="O436" s="12"/>
      <c r="P436" s="13"/>
      <c r="Q436" s="13"/>
      <c r="R436" s="13"/>
      <c r="S436" s="11"/>
      <c r="T436" s="11"/>
      <c r="U436" s="14"/>
      <c r="V436" s="14"/>
      <c r="W436" s="14"/>
      <c r="X436" s="14"/>
      <c r="Y436" s="11"/>
      <c r="Z436" s="14"/>
      <c r="AA436" s="14"/>
      <c r="AB436" s="14"/>
      <c r="AC436" s="14"/>
      <c r="AD436" s="14"/>
      <c r="AE436" s="14"/>
      <c r="AF436" s="14"/>
      <c r="AG436" s="15"/>
    </row>
    <row r="437" spans="1:33" x14ac:dyDescent="0.3">
      <c r="A437" s="8"/>
      <c r="B437" s="9"/>
      <c r="C437" s="8"/>
      <c r="D437" s="9"/>
      <c r="E437" s="9"/>
      <c r="F437" s="8"/>
      <c r="G437" s="10"/>
      <c r="H437" s="10"/>
      <c r="I437" s="10"/>
      <c r="J437" s="10"/>
      <c r="K437" s="10"/>
      <c r="L437" s="11"/>
      <c r="M437" s="11"/>
      <c r="N437" s="12"/>
      <c r="O437" s="12"/>
      <c r="P437" s="13"/>
      <c r="Q437" s="13"/>
      <c r="R437" s="13"/>
      <c r="S437" s="11"/>
      <c r="T437" s="11"/>
      <c r="U437" s="14"/>
      <c r="V437" s="14"/>
      <c r="W437" s="14"/>
      <c r="X437" s="14"/>
      <c r="Y437" s="11"/>
      <c r="Z437" s="14"/>
      <c r="AA437" s="14"/>
      <c r="AB437" s="14"/>
      <c r="AC437" s="14"/>
      <c r="AD437" s="14"/>
      <c r="AE437" s="14"/>
      <c r="AF437" s="14"/>
      <c r="AG437" s="15"/>
    </row>
    <row r="438" spans="1:33" x14ac:dyDescent="0.3">
      <c r="A438" s="8"/>
      <c r="B438" s="9"/>
      <c r="C438" s="8"/>
      <c r="D438" s="9"/>
      <c r="E438" s="9"/>
      <c r="F438" s="8"/>
      <c r="G438" s="10"/>
      <c r="H438" s="10"/>
      <c r="I438" s="10"/>
      <c r="J438" s="10"/>
      <c r="K438" s="10"/>
      <c r="L438" s="11"/>
      <c r="M438" s="11"/>
      <c r="N438" s="12"/>
      <c r="O438" s="12"/>
      <c r="P438" s="13"/>
      <c r="Q438" s="13"/>
      <c r="R438" s="13"/>
      <c r="S438" s="11"/>
      <c r="T438" s="11"/>
      <c r="U438" s="14"/>
      <c r="V438" s="14"/>
      <c r="W438" s="14"/>
      <c r="X438" s="14"/>
      <c r="Y438" s="11"/>
      <c r="Z438" s="14"/>
      <c r="AA438" s="14"/>
      <c r="AB438" s="14"/>
      <c r="AC438" s="14"/>
      <c r="AD438" s="14"/>
      <c r="AE438" s="14"/>
      <c r="AF438" s="14"/>
      <c r="AG438" s="15"/>
    </row>
    <row r="439" spans="1:33" x14ac:dyDescent="0.3">
      <c r="A439" s="8"/>
      <c r="B439" s="9"/>
      <c r="C439" s="8"/>
      <c r="D439" s="9"/>
      <c r="E439" s="9"/>
      <c r="F439" s="8"/>
      <c r="G439" s="10"/>
      <c r="H439" s="10"/>
      <c r="I439" s="10"/>
      <c r="J439" s="10"/>
      <c r="K439" s="10"/>
      <c r="L439" s="11"/>
      <c r="M439" s="11"/>
      <c r="N439" s="12"/>
      <c r="O439" s="12"/>
      <c r="P439" s="13"/>
      <c r="Q439" s="13"/>
      <c r="R439" s="13"/>
      <c r="S439" s="11"/>
      <c r="T439" s="11"/>
      <c r="U439" s="14"/>
      <c r="V439" s="14"/>
      <c r="W439" s="14"/>
      <c r="X439" s="14"/>
      <c r="Y439" s="11"/>
      <c r="Z439" s="14"/>
      <c r="AA439" s="14"/>
      <c r="AB439" s="14"/>
      <c r="AC439" s="14"/>
      <c r="AD439" s="14"/>
      <c r="AE439" s="14"/>
      <c r="AF439" s="14"/>
      <c r="AG439" s="15"/>
    </row>
    <row r="440" spans="1:33" x14ac:dyDescent="0.3">
      <c r="A440" s="8"/>
      <c r="B440" s="9"/>
      <c r="C440" s="8"/>
      <c r="D440" s="9"/>
      <c r="E440" s="9"/>
      <c r="F440" s="8"/>
      <c r="G440" s="10"/>
      <c r="H440" s="10"/>
      <c r="I440" s="10"/>
      <c r="J440" s="10"/>
      <c r="K440" s="10"/>
      <c r="L440" s="11"/>
      <c r="M440" s="11"/>
      <c r="N440" s="12"/>
      <c r="O440" s="12"/>
      <c r="P440" s="13"/>
      <c r="Q440" s="13"/>
      <c r="R440" s="13"/>
      <c r="S440" s="11"/>
      <c r="T440" s="11"/>
      <c r="U440" s="14"/>
      <c r="V440" s="14"/>
      <c r="W440" s="14"/>
      <c r="X440" s="14"/>
      <c r="Y440" s="11"/>
      <c r="Z440" s="14"/>
      <c r="AA440" s="14"/>
      <c r="AB440" s="14"/>
      <c r="AC440" s="14"/>
      <c r="AD440" s="14"/>
      <c r="AE440" s="14"/>
      <c r="AF440" s="14"/>
      <c r="AG440" s="15"/>
    </row>
    <row r="441" spans="1:33" x14ac:dyDescent="0.3">
      <c r="A441" s="8"/>
      <c r="B441" s="9"/>
      <c r="C441" s="8"/>
      <c r="D441" s="9"/>
      <c r="E441" s="9"/>
      <c r="F441" s="8"/>
      <c r="G441" s="10"/>
      <c r="H441" s="10"/>
      <c r="I441" s="10"/>
      <c r="J441" s="10"/>
      <c r="K441" s="10"/>
      <c r="L441" s="11"/>
      <c r="M441" s="11"/>
      <c r="N441" s="12"/>
      <c r="O441" s="12"/>
      <c r="P441" s="13"/>
      <c r="Q441" s="13"/>
      <c r="R441" s="13"/>
      <c r="S441" s="11"/>
      <c r="T441" s="11"/>
      <c r="U441" s="14"/>
      <c r="V441" s="14"/>
      <c r="W441" s="14"/>
      <c r="X441" s="14"/>
      <c r="Y441" s="11"/>
      <c r="Z441" s="14"/>
      <c r="AA441" s="14"/>
      <c r="AB441" s="14"/>
      <c r="AC441" s="14"/>
      <c r="AD441" s="14"/>
      <c r="AE441" s="14"/>
      <c r="AF441" s="14"/>
      <c r="AG441" s="15"/>
    </row>
    <row r="442" spans="1:33" x14ac:dyDescent="0.3">
      <c r="A442" s="8"/>
      <c r="B442" s="9"/>
      <c r="C442" s="8"/>
      <c r="D442" s="9"/>
      <c r="E442" s="9"/>
      <c r="F442" s="8"/>
      <c r="G442" s="10"/>
      <c r="H442" s="10"/>
      <c r="I442" s="10"/>
      <c r="J442" s="10"/>
      <c r="K442" s="10"/>
      <c r="L442" s="11"/>
      <c r="M442" s="11"/>
      <c r="N442" s="12"/>
      <c r="O442" s="12"/>
      <c r="P442" s="13"/>
      <c r="Q442" s="13"/>
      <c r="R442" s="13"/>
      <c r="S442" s="11"/>
      <c r="T442" s="11"/>
      <c r="U442" s="14"/>
      <c r="V442" s="14"/>
      <c r="W442" s="14"/>
      <c r="X442" s="14"/>
      <c r="Y442" s="11"/>
      <c r="Z442" s="14"/>
      <c r="AA442" s="14"/>
      <c r="AB442" s="14"/>
      <c r="AC442" s="14"/>
      <c r="AD442" s="14"/>
      <c r="AE442" s="14"/>
      <c r="AF442" s="14"/>
      <c r="AG442" s="15"/>
    </row>
    <row r="443" spans="1:33" x14ac:dyDescent="0.3">
      <c r="A443" s="8"/>
      <c r="B443" s="9"/>
      <c r="C443" s="8"/>
      <c r="D443" s="9"/>
      <c r="E443" s="9"/>
      <c r="F443" s="8"/>
      <c r="G443" s="10"/>
      <c r="H443" s="10"/>
      <c r="I443" s="10"/>
      <c r="J443" s="10"/>
      <c r="K443" s="10"/>
      <c r="L443" s="11"/>
      <c r="M443" s="11"/>
      <c r="N443" s="12"/>
      <c r="O443" s="12"/>
      <c r="P443" s="13"/>
      <c r="Q443" s="13"/>
      <c r="R443" s="13"/>
      <c r="S443" s="11"/>
      <c r="T443" s="11"/>
      <c r="U443" s="14"/>
      <c r="V443" s="14"/>
      <c r="W443" s="14"/>
      <c r="X443" s="14"/>
      <c r="Y443" s="11"/>
      <c r="Z443" s="14"/>
      <c r="AA443" s="14"/>
      <c r="AB443" s="14"/>
      <c r="AC443" s="14"/>
      <c r="AD443" s="14"/>
      <c r="AE443" s="14"/>
      <c r="AF443" s="14"/>
      <c r="AG443" s="15"/>
    </row>
    <row r="444" spans="1:33" x14ac:dyDescent="0.3">
      <c r="A444" s="8"/>
      <c r="B444" s="9"/>
      <c r="C444" s="8"/>
      <c r="D444" s="9"/>
      <c r="E444" s="9"/>
      <c r="F444" s="8"/>
      <c r="G444" s="10"/>
      <c r="H444" s="10"/>
      <c r="I444" s="10"/>
      <c r="J444" s="10"/>
      <c r="K444" s="10"/>
      <c r="L444" s="11"/>
      <c r="M444" s="11"/>
      <c r="N444" s="12"/>
      <c r="O444" s="12"/>
      <c r="P444" s="13"/>
      <c r="Q444" s="13"/>
      <c r="R444" s="13"/>
      <c r="S444" s="11"/>
      <c r="T444" s="11"/>
      <c r="U444" s="14"/>
      <c r="V444" s="14"/>
      <c r="W444" s="14"/>
      <c r="X444" s="14"/>
      <c r="Y444" s="11"/>
      <c r="Z444" s="14"/>
      <c r="AA444" s="14"/>
      <c r="AB444" s="14"/>
      <c r="AC444" s="14"/>
      <c r="AD444" s="14"/>
      <c r="AE444" s="14"/>
      <c r="AF444" s="14"/>
      <c r="AG444" s="15"/>
    </row>
    <row r="445" spans="1:33" x14ac:dyDescent="0.3">
      <c r="A445" s="8"/>
      <c r="B445" s="9"/>
      <c r="C445" s="8"/>
      <c r="D445" s="9"/>
      <c r="E445" s="9"/>
      <c r="F445" s="8"/>
      <c r="G445" s="10"/>
      <c r="H445" s="10"/>
      <c r="I445" s="10"/>
      <c r="J445" s="10"/>
      <c r="K445" s="10"/>
      <c r="L445" s="11"/>
      <c r="M445" s="11"/>
      <c r="N445" s="12"/>
      <c r="O445" s="12"/>
      <c r="P445" s="13"/>
      <c r="Q445" s="13"/>
      <c r="R445" s="13"/>
      <c r="S445" s="11"/>
      <c r="T445" s="11"/>
      <c r="U445" s="14"/>
      <c r="V445" s="14"/>
      <c r="W445" s="14"/>
      <c r="X445" s="14"/>
      <c r="Y445" s="11"/>
      <c r="Z445" s="14"/>
      <c r="AA445" s="14"/>
      <c r="AB445" s="14"/>
      <c r="AC445" s="14"/>
      <c r="AD445" s="14"/>
      <c r="AE445" s="14"/>
      <c r="AF445" s="14"/>
      <c r="AG445" s="15"/>
    </row>
    <row r="446" spans="1:33" x14ac:dyDescent="0.3">
      <c r="A446" s="8"/>
      <c r="B446" s="9"/>
      <c r="C446" s="8"/>
      <c r="D446" s="9"/>
      <c r="E446" s="9"/>
      <c r="F446" s="8"/>
      <c r="G446" s="10"/>
      <c r="H446" s="10"/>
      <c r="I446" s="10"/>
      <c r="J446" s="10"/>
      <c r="K446" s="10"/>
      <c r="L446" s="11"/>
      <c r="M446" s="11"/>
      <c r="N446" s="12"/>
      <c r="O446" s="12"/>
      <c r="P446" s="13"/>
      <c r="Q446" s="13"/>
      <c r="R446" s="13"/>
      <c r="S446" s="11"/>
      <c r="T446" s="11"/>
      <c r="U446" s="14"/>
      <c r="V446" s="14"/>
      <c r="W446" s="14"/>
      <c r="X446" s="14"/>
      <c r="Y446" s="11"/>
      <c r="Z446" s="14"/>
      <c r="AA446" s="14"/>
      <c r="AB446" s="14"/>
      <c r="AC446" s="14"/>
      <c r="AD446" s="14"/>
      <c r="AE446" s="14"/>
      <c r="AF446" s="14"/>
      <c r="AG446" s="15"/>
    </row>
    <row r="447" spans="1:33" x14ac:dyDescent="0.3">
      <c r="A447" s="8"/>
      <c r="B447" s="9"/>
      <c r="C447" s="8"/>
      <c r="D447" s="9"/>
      <c r="E447" s="9"/>
      <c r="F447" s="8"/>
      <c r="G447" s="10"/>
      <c r="H447" s="10"/>
      <c r="I447" s="10"/>
      <c r="J447" s="10"/>
      <c r="K447" s="10"/>
      <c r="L447" s="11"/>
      <c r="M447" s="11"/>
      <c r="N447" s="12"/>
      <c r="O447" s="12"/>
      <c r="P447" s="13"/>
      <c r="Q447" s="13"/>
      <c r="R447" s="13"/>
      <c r="S447" s="11"/>
      <c r="T447" s="11"/>
      <c r="U447" s="14"/>
      <c r="V447" s="14"/>
      <c r="W447" s="14"/>
      <c r="X447" s="14"/>
      <c r="Y447" s="11"/>
      <c r="Z447" s="14"/>
      <c r="AA447" s="14"/>
      <c r="AB447" s="14"/>
      <c r="AC447" s="14"/>
      <c r="AD447" s="14"/>
      <c r="AE447" s="14"/>
      <c r="AF447" s="14"/>
      <c r="AG447" s="15"/>
    </row>
    <row r="448" spans="1:33" x14ac:dyDescent="0.3">
      <c r="A448" s="8"/>
      <c r="B448" s="9"/>
      <c r="C448" s="8"/>
      <c r="D448" s="9"/>
      <c r="E448" s="9"/>
      <c r="F448" s="8"/>
      <c r="G448" s="10"/>
      <c r="H448" s="10"/>
      <c r="I448" s="10"/>
      <c r="J448" s="10"/>
      <c r="K448" s="10"/>
      <c r="L448" s="11"/>
      <c r="M448" s="11"/>
      <c r="N448" s="12"/>
      <c r="O448" s="12"/>
      <c r="P448" s="13"/>
      <c r="Q448" s="13"/>
      <c r="R448" s="13"/>
      <c r="S448" s="11"/>
      <c r="T448" s="11"/>
      <c r="U448" s="14"/>
      <c r="V448" s="14"/>
      <c r="W448" s="14"/>
      <c r="X448" s="14"/>
      <c r="Y448" s="11"/>
      <c r="Z448" s="14"/>
      <c r="AA448" s="14"/>
      <c r="AB448" s="14"/>
      <c r="AC448" s="14"/>
      <c r="AD448" s="14"/>
      <c r="AE448" s="14"/>
      <c r="AF448" s="14"/>
      <c r="AG448" s="15"/>
    </row>
    <row r="449" spans="1:33" x14ac:dyDescent="0.3">
      <c r="A449" s="8"/>
      <c r="B449" s="9"/>
      <c r="C449" s="8"/>
      <c r="D449" s="9"/>
      <c r="E449" s="9"/>
      <c r="F449" s="8"/>
      <c r="G449" s="10"/>
      <c r="H449" s="10"/>
      <c r="I449" s="10"/>
      <c r="J449" s="10"/>
      <c r="K449" s="10"/>
      <c r="L449" s="11"/>
      <c r="M449" s="11"/>
      <c r="N449" s="12"/>
      <c r="O449" s="12"/>
      <c r="P449" s="13"/>
      <c r="Q449" s="13"/>
      <c r="R449" s="13"/>
      <c r="S449" s="11"/>
      <c r="T449" s="11"/>
      <c r="U449" s="14"/>
      <c r="V449" s="14"/>
      <c r="W449" s="14"/>
      <c r="X449" s="14"/>
      <c r="Y449" s="11"/>
      <c r="Z449" s="14"/>
      <c r="AA449" s="14"/>
      <c r="AB449" s="14"/>
      <c r="AC449" s="14"/>
      <c r="AD449" s="14"/>
      <c r="AE449" s="14"/>
      <c r="AF449" s="14"/>
      <c r="AG449" s="15"/>
    </row>
    <row r="450" spans="1:33" x14ac:dyDescent="0.3">
      <c r="A450" s="8"/>
      <c r="B450" s="9"/>
      <c r="C450" s="8"/>
      <c r="D450" s="9"/>
      <c r="E450" s="9"/>
      <c r="F450" s="8"/>
      <c r="G450" s="10"/>
      <c r="H450" s="10"/>
      <c r="I450" s="10"/>
      <c r="J450" s="10"/>
      <c r="K450" s="10"/>
      <c r="L450" s="11"/>
      <c r="M450" s="11"/>
      <c r="N450" s="12"/>
      <c r="O450" s="12"/>
      <c r="P450" s="13"/>
      <c r="Q450" s="13"/>
      <c r="R450" s="13"/>
      <c r="S450" s="11"/>
      <c r="T450" s="11"/>
      <c r="U450" s="14"/>
      <c r="V450" s="14"/>
      <c r="W450" s="14"/>
      <c r="X450" s="14"/>
      <c r="Y450" s="11"/>
      <c r="Z450" s="14"/>
      <c r="AA450" s="14"/>
      <c r="AB450" s="14"/>
      <c r="AC450" s="14"/>
      <c r="AD450" s="14"/>
      <c r="AE450" s="14"/>
      <c r="AF450" s="14"/>
      <c r="AG450" s="15"/>
    </row>
    <row r="451" spans="1:33" x14ac:dyDescent="0.3">
      <c r="A451" s="8"/>
      <c r="B451" s="9"/>
      <c r="C451" s="8"/>
      <c r="D451" s="9"/>
      <c r="E451" s="9"/>
      <c r="F451" s="8"/>
      <c r="G451" s="10"/>
      <c r="H451" s="10"/>
      <c r="I451" s="10"/>
      <c r="J451" s="10"/>
      <c r="K451" s="10"/>
      <c r="L451" s="11"/>
      <c r="M451" s="11"/>
      <c r="N451" s="12"/>
      <c r="O451" s="12"/>
      <c r="P451" s="13"/>
      <c r="Q451" s="13"/>
      <c r="R451" s="13"/>
      <c r="S451" s="11"/>
      <c r="T451" s="11"/>
      <c r="U451" s="14"/>
      <c r="V451" s="14"/>
      <c r="W451" s="14"/>
      <c r="X451" s="14"/>
      <c r="Y451" s="11"/>
      <c r="Z451" s="14"/>
      <c r="AA451" s="14"/>
      <c r="AB451" s="14"/>
      <c r="AC451" s="14"/>
      <c r="AD451" s="14"/>
      <c r="AE451" s="14"/>
      <c r="AF451" s="14"/>
      <c r="AG451" s="15"/>
    </row>
  </sheetData>
  <phoneticPr fontId="11" type="noConversion"/>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10">
        <x14:dataValidation type="list" allowBlank="1" xr:uid="{00000000-0002-0000-0200-000000000000}">
          <x14:formula1>
            <xm:f>'1_CodeLists'!$B$2:$B$6</xm:f>
          </x14:formula1>
          <x14:formula2>
            <xm:f>0</xm:f>
          </x14:formula2>
          <xm:sqref>F2:F451</xm:sqref>
        </x14:dataValidation>
        <x14:dataValidation type="list" allowBlank="1" xr:uid="{00000000-0002-0000-0200-000001000000}">
          <x14:formula1>
            <xm:f>'1_CodeLists'!$A$2:$A$3</xm:f>
          </x14:formula1>
          <x14:formula2>
            <xm:f>0</xm:f>
          </x14:formula2>
          <xm:sqref>N2:R451 G2:K451</xm:sqref>
        </x14:dataValidation>
        <x14:dataValidation type="list" allowBlank="1" xr:uid="{00000000-0002-0000-0200-00000B000000}">
          <x14:formula1>
            <xm:f>'1_CodeLists'!$D$2:$D$6</xm:f>
          </x14:formula1>
          <x14:formula2>
            <xm:f>0</xm:f>
          </x14:formula2>
          <xm:sqref>U2:U451</xm:sqref>
        </x14:dataValidation>
        <x14:dataValidation type="list" allowBlank="1" xr:uid="{00000000-0002-0000-0200-00000C000000}">
          <x14:formula1>
            <xm:f>'1_CodeLists'!$C$2:$C$3</xm:f>
          </x14:formula1>
          <x14:formula2>
            <xm:f>0</xm:f>
          </x14:formula2>
          <xm:sqref>V2:X451</xm:sqref>
        </x14:dataValidation>
        <x14:dataValidation type="list" allowBlank="1" xr:uid="{00000000-0002-0000-0200-00000F000000}">
          <x14:formula1>
            <xm:f>'1_CodeLists'!$E$2:$E$5</xm:f>
          </x14:formula1>
          <x14:formula2>
            <xm:f>0</xm:f>
          </x14:formula2>
          <xm:sqref>Z2:Z451</xm:sqref>
        </x14:dataValidation>
        <x14:dataValidation type="list" allowBlank="1" xr:uid="{00000000-0002-0000-0200-000010000000}">
          <x14:formula1>
            <xm:f>'1_CodeLists'!$F$2:$F$5</xm:f>
          </x14:formula1>
          <x14:formula2>
            <xm:f>0</xm:f>
          </x14:formula2>
          <xm:sqref>AA2:AA451</xm:sqref>
        </x14:dataValidation>
        <x14:dataValidation type="list" allowBlank="1" xr:uid="{00000000-0002-0000-0200-000011000000}">
          <x14:formula1>
            <xm:f>'1_CodeLists'!$G$2:$G$13</xm:f>
          </x14:formula1>
          <x14:formula2>
            <xm:f>0</xm:f>
          </x14:formula2>
          <xm:sqref>AB2:AB451</xm:sqref>
        </x14:dataValidation>
        <x14:dataValidation type="list" allowBlank="1" xr:uid="{00000000-0002-0000-0200-000012000000}">
          <x14:formula1>
            <xm:f>'1_CodeLists'!$H$2:$H$3</xm:f>
          </x14:formula1>
          <x14:formula2>
            <xm:f>0</xm:f>
          </x14:formula2>
          <xm:sqref>AC2:AC451</xm:sqref>
        </x14:dataValidation>
        <x14:dataValidation type="list" allowBlank="1" xr:uid="{00000000-0002-0000-0200-000013000000}">
          <x14:formula1>
            <xm:f>'1_CodeLists'!$I$2:$I$5</xm:f>
          </x14:formula1>
          <x14:formula2>
            <xm:f>0</xm:f>
          </x14:formula2>
          <xm:sqref>AD2:AD451</xm:sqref>
        </x14:dataValidation>
        <x14:dataValidation type="list" allowBlank="1" xr:uid="{00000000-0002-0000-0200-000014000000}">
          <x14:formula1>
            <xm:f>'1_CodeLists'!$J$2:$J$8</xm:f>
          </x14:formula1>
          <x14:formula2>
            <xm:f>0</xm:f>
          </x14:formula2>
          <xm:sqref>AF2:AF451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8"/>
  <sheetViews>
    <sheetView showGridLines="0" zoomScaleNormal="100" workbookViewId="0">
      <selection activeCell="A27" sqref="A27"/>
    </sheetView>
  </sheetViews>
  <sheetFormatPr defaultColWidth="8.6640625" defaultRowHeight="14.4" x14ac:dyDescent="0.3"/>
  <cols>
    <col min="1" max="1" width="46" customWidth="1"/>
    <col min="2" max="2" width="14" customWidth="1"/>
  </cols>
  <sheetData>
    <row r="1" spans="1:2" ht="16.8" x14ac:dyDescent="0.3">
      <c r="A1" s="16" t="s">
        <v>125</v>
      </c>
    </row>
    <row r="3" spans="1:2" x14ac:dyDescent="0.3">
      <c r="A3" s="17" t="s">
        <v>126</v>
      </c>
      <c r="B3" s="6" t="s">
        <v>127</v>
      </c>
    </row>
    <row r="4" spans="1:2" x14ac:dyDescent="0.3">
      <c r="A4" s="18" t="s">
        <v>128</v>
      </c>
      <c r="B4" s="19">
        <f>COUNTA(Matrix!$A$2:$A$451)</f>
        <v>429</v>
      </c>
    </row>
    <row r="5" spans="1:2" x14ac:dyDescent="0.3">
      <c r="A5" s="18" t="s">
        <v>129</v>
      </c>
      <c r="B5" s="19">
        <f>COUNTIF(Matrix!$L$2:$L$451,"INCLUDE")+COUNTIF(Matrix!$L$2:$L$451,"EXCLUDE")</f>
        <v>429</v>
      </c>
    </row>
    <row r="6" spans="1:2" x14ac:dyDescent="0.3">
      <c r="A6" s="18" t="s">
        <v>130</v>
      </c>
      <c r="B6" s="19">
        <f>COUNTIF(Matrix!$L$2:$L$451,"EXCLUDE")</f>
        <v>262</v>
      </c>
    </row>
    <row r="7" spans="1:2" x14ac:dyDescent="0.3">
      <c r="A7" s="20" t="s">
        <v>131</v>
      </c>
      <c r="B7" s="21">
        <f>COUNTIF(Matrix!$L$2:$L$451,"INCLUDE")</f>
        <v>167</v>
      </c>
    </row>
    <row r="8" spans="1:2" x14ac:dyDescent="0.3">
      <c r="A8" s="18" t="s">
        <v>132</v>
      </c>
      <c r="B8" s="19">
        <f>COUNTIFS(Matrix!$L$2:$L$451,"INCLUDE",Matrix!$N$2:$N$451,"Yes")</f>
        <v>82</v>
      </c>
    </row>
    <row r="9" spans="1:2" x14ac:dyDescent="0.3">
      <c r="A9" s="18" t="s">
        <v>133</v>
      </c>
      <c r="B9" s="19">
        <f>COUNTIFS(Matrix!$L$2:$L$451,"INCLUDE",Matrix!$N$2:$N$451,"No")</f>
        <v>83</v>
      </c>
    </row>
    <row r="10" spans="1:2" x14ac:dyDescent="0.3">
      <c r="A10" s="20" t="s">
        <v>134</v>
      </c>
      <c r="B10" s="21">
        <f>COUNTIFS(Matrix!$N$2:$N$451,"Yes",Matrix!$S$2:$S$451,"INCLUDE")+COUNTIFS(Matrix!$N$2:$N$451,"Yes",Matrix!$S$2:$S$451,"EXCLUDE")</f>
        <v>82</v>
      </c>
    </row>
    <row r="11" spans="1:2" x14ac:dyDescent="0.3">
      <c r="A11" s="18" t="s">
        <v>135</v>
      </c>
      <c r="B11" s="19">
        <f>COUNTIF(Matrix!$S$2:$S$451,"EXCLUDE")</f>
        <v>6</v>
      </c>
    </row>
    <row r="12" spans="1:2" x14ac:dyDescent="0.3">
      <c r="A12" s="22" t="s">
        <v>136</v>
      </c>
      <c r="B12" s="23">
        <f>COUNTIF(Matrix!$S$2:$S$451,"INCLUDE")</f>
        <v>76</v>
      </c>
    </row>
    <row r="14" spans="1:2" ht="15.6" x14ac:dyDescent="0.3">
      <c r="A14" s="3" t="s">
        <v>137</v>
      </c>
    </row>
    <row r="15" spans="1:2" x14ac:dyDescent="0.3">
      <c r="A15" s="17" t="s">
        <v>138</v>
      </c>
      <c r="B15" s="6" t="s">
        <v>127</v>
      </c>
    </row>
    <row r="16" spans="1:2" x14ac:dyDescent="0.3">
      <c r="A16" s="18" t="s">
        <v>139</v>
      </c>
      <c r="B16" s="19">
        <f>COUNTIF(Matrix!$M$2:$M$451,"Wrong domain (non-AECO)")</f>
        <v>99</v>
      </c>
    </row>
    <row r="17" spans="1:2" x14ac:dyDescent="0.3">
      <c r="A17" s="18" t="s">
        <v>140</v>
      </c>
      <c r="B17" s="19">
        <f>COUNTIF(Matrix!$M$2:$M$451,"Digital Twin not core / buzzword")</f>
        <v>112</v>
      </c>
    </row>
    <row r="18" spans="1:2" x14ac:dyDescent="0.3">
      <c r="A18" s="18" t="s">
        <v>141</v>
      </c>
      <c r="B18" s="19">
        <f>COUNTIF(Matrix!$M$2:$M$451,"No Design for Safety/Quality/PtD")</f>
        <v>21</v>
      </c>
    </row>
    <row r="19" spans="1:2" x14ac:dyDescent="0.3">
      <c r="A19" s="18" t="s">
        <v>142</v>
      </c>
      <c r="B19" s="19">
        <f>COUNTIF(Matrix!$M$2:$M$451,"Wrong publication type")</f>
        <v>0</v>
      </c>
    </row>
    <row r="20" spans="1:2" x14ac:dyDescent="0.3">
      <c r="A20" s="18" t="s">
        <v>143</v>
      </c>
      <c r="B20" s="19">
        <f>COUNTIF(Matrix!$M$2:$M$451,"Non-English")</f>
        <v>30</v>
      </c>
    </row>
    <row r="21" spans="1:2" x14ac:dyDescent="0.3">
      <c r="A21" s="24" t="s">
        <v>144</v>
      </c>
      <c r="B21" s="25">
        <f>SUM(B16:B20)</f>
        <v>262</v>
      </c>
    </row>
    <row r="23" spans="1:2" ht="15.6" x14ac:dyDescent="0.3">
      <c r="A23" s="3" t="s">
        <v>145</v>
      </c>
    </row>
    <row r="24" spans="1:2" x14ac:dyDescent="0.3">
      <c r="A24" s="17" t="s">
        <v>138</v>
      </c>
      <c r="B24" s="6" t="s">
        <v>127</v>
      </c>
    </row>
    <row r="25" spans="1:2" x14ac:dyDescent="0.3">
      <c r="A25" s="18" t="s">
        <v>146</v>
      </c>
      <c r="B25" s="19">
        <f>COUNTIF(Matrix!$T$2:$T$451,"Digital Twin mentioned only, not the subject")</f>
        <v>6</v>
      </c>
    </row>
    <row r="26" spans="1:2" x14ac:dyDescent="0.3">
      <c r="A26" s="18" t="s">
        <v>147</v>
      </c>
      <c r="B26" s="19">
        <f>COUNTIF(Matrix!$T$2:$T$451,"No Design for Safety/Quality in full text")</f>
        <v>0</v>
      </c>
    </row>
    <row r="27" spans="1:2" x14ac:dyDescent="0.3">
      <c r="A27" s="18" t="s">
        <v>148</v>
      </c>
      <c r="B27" s="19">
        <f>COUNTIF(Matrix!$T$2:$T$451,"Methodology not codable")</f>
        <v>0</v>
      </c>
    </row>
    <row r="28" spans="1:2" x14ac:dyDescent="0.3">
      <c r="A28" s="24" t="s">
        <v>149</v>
      </c>
      <c r="B28" s="25">
        <f>SUM(B25:B27)</f>
        <v>6</v>
      </c>
    </row>
  </sheetData>
  <phoneticPr fontId="11" type="noConversion"/>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9"/>
  <sheetViews>
    <sheetView showGridLines="0" topLeftCell="A20" zoomScaleNormal="100" workbookViewId="0">
      <selection activeCell="G26" sqref="G26"/>
    </sheetView>
  </sheetViews>
  <sheetFormatPr defaultColWidth="8.6640625" defaultRowHeight="14.4" x14ac:dyDescent="0.3"/>
  <cols>
    <col min="1" max="1" width="42" customWidth="1"/>
    <col min="2" max="2" width="10" customWidth="1"/>
    <col min="3" max="3" width="12" customWidth="1"/>
  </cols>
  <sheetData>
    <row r="1" spans="1:3" ht="16.8" x14ac:dyDescent="0.3">
      <c r="A1" s="16" t="s">
        <v>150</v>
      </c>
    </row>
    <row r="2" spans="1:3" x14ac:dyDescent="0.3">
      <c r="A2" s="26" t="s">
        <v>151</v>
      </c>
      <c r="B2" s="27">
        <f>COUNTIF(Matrix!$S$2:$S$451,"INCLUDE")</f>
        <v>76</v>
      </c>
    </row>
    <row r="4" spans="1:3" ht="15.6" x14ac:dyDescent="0.3">
      <c r="A4" s="3" t="s">
        <v>152</v>
      </c>
    </row>
    <row r="5" spans="1:3" x14ac:dyDescent="0.3">
      <c r="A5" s="6" t="s">
        <v>153</v>
      </c>
      <c r="B5" s="6" t="s">
        <v>127</v>
      </c>
      <c r="C5" s="6" t="s">
        <v>154</v>
      </c>
    </row>
    <row r="6" spans="1:3" x14ac:dyDescent="0.3">
      <c r="A6" s="18" t="s">
        <v>52</v>
      </c>
      <c r="B6" s="28">
        <f>COUNTIFS(Matrix!$S$2:$S$451,"INCLUDE",Matrix!$U$2:$U$451,"Tier 1 - Digital Model (static, no live data)")</f>
        <v>16</v>
      </c>
      <c r="C6" s="29">
        <f>IF($B$2=0,"-",B6/$B$2)</f>
        <v>0.21052631578947367</v>
      </c>
    </row>
    <row r="7" spans="1:3" x14ac:dyDescent="0.3">
      <c r="A7" s="18" t="s">
        <v>61</v>
      </c>
      <c r="B7" s="28">
        <f>COUNTIFS(Matrix!$S$2:$S$451,"INCLUDE",Matrix!$U$2:$U$451,"Tier 2 - Digital Shadow (one-way physical to virtual)")</f>
        <v>45</v>
      </c>
      <c r="C7" s="29">
        <f>IF($B$2=0,"-",B7/$B$2)</f>
        <v>0.59210526315789469</v>
      </c>
    </row>
    <row r="8" spans="1:3" x14ac:dyDescent="0.3">
      <c r="A8" s="18" t="s">
        <v>68</v>
      </c>
      <c r="B8" s="28">
        <f>COUNTIFS(Matrix!$S$2:$S$451,"INCLUDE",Matrix!$U$2:$U$451,"Tier 3 - Digital Twin (bidirectional, two-way)")</f>
        <v>8</v>
      </c>
      <c r="C8" s="29">
        <f>IF($B$2=0,"-",B8/$B$2)</f>
        <v>0.10526315789473684</v>
      </c>
    </row>
    <row r="9" spans="1:3" x14ac:dyDescent="0.3">
      <c r="A9" s="18" t="s">
        <v>75</v>
      </c>
      <c r="B9" s="28">
        <f>COUNTIFS(Matrix!$S$2:$S$451,"INCLUDE",Matrix!$U$2:$U$451,"Tier 4 - Cognitive / Self-improving")</f>
        <v>0</v>
      </c>
      <c r="C9" s="29">
        <f>IF($B$2=0,"-",B9/$B$2)</f>
        <v>0</v>
      </c>
    </row>
    <row r="10" spans="1:3" x14ac:dyDescent="0.3">
      <c r="A10" s="18" t="s">
        <v>82</v>
      </c>
      <c r="B10" s="28">
        <f>COUNTIFS(Matrix!$S$2:$S$451,"INCLUDE",Matrix!$U$2:$U$451,"Unclear")</f>
        <v>7</v>
      </c>
      <c r="C10" s="29">
        <f>IF($B$2=0,"-",B10/$B$2)</f>
        <v>9.2105263157894732E-2</v>
      </c>
    </row>
    <row r="12" spans="1:3" ht="15.6" x14ac:dyDescent="0.3">
      <c r="A12" s="3" t="s">
        <v>155</v>
      </c>
    </row>
    <row r="13" spans="1:3" x14ac:dyDescent="0.3">
      <c r="A13" s="6" t="s">
        <v>153</v>
      </c>
      <c r="B13" s="6" t="s">
        <v>127</v>
      </c>
      <c r="C13" s="6" t="s">
        <v>154</v>
      </c>
    </row>
    <row r="14" spans="1:3" x14ac:dyDescent="0.3">
      <c r="A14" s="18" t="s">
        <v>53</v>
      </c>
      <c r="B14" s="28">
        <f>COUNTIFS(Matrix!$S$2:$S$451,"INCLUDE",Matrix!$AA$2:$AA$451,"None")</f>
        <v>64</v>
      </c>
      <c r="C14" s="29">
        <f>IF($B$2=0,"-",B14/$B$2)</f>
        <v>0.84210526315789469</v>
      </c>
    </row>
    <row r="15" spans="1:3" x14ac:dyDescent="0.3">
      <c r="A15" s="18" t="s">
        <v>62</v>
      </c>
      <c r="B15" s="28">
        <f>COUNTIFS(Matrix!$S$2:$S$451,"INCLUDE",Matrix!$AA$2:$AA$451,"Mentioned only")</f>
        <v>8</v>
      </c>
      <c r="C15" s="29">
        <f>IF($B$2=0,"-",B15/$B$2)</f>
        <v>0.10526315789473684</v>
      </c>
    </row>
    <row r="16" spans="1:3" x14ac:dyDescent="0.3">
      <c r="A16" s="18" t="s">
        <v>70</v>
      </c>
      <c r="B16" s="28">
        <f>COUNTIFS(Matrix!$S$2:$S$451,"INCLUDE",Matrix!$AA$2:$AA$451,"Implemented")</f>
        <v>4</v>
      </c>
      <c r="C16" s="29">
        <f>IF($B$2=0,"-",B16/$B$2)</f>
        <v>5.2631578947368418E-2</v>
      </c>
    </row>
    <row r="17" spans="1:3" x14ac:dyDescent="0.3">
      <c r="A17" s="18" t="s">
        <v>77</v>
      </c>
      <c r="B17" s="28">
        <f>COUNTIFS(Matrix!$S$2:$S$451,"INCLUDE",Matrix!$AA$2:$AA$451,"Convergence-characterised")</f>
        <v>0</v>
      </c>
      <c r="C17" s="29">
        <f>IF($B$2=0,"-",B17/$B$2)</f>
        <v>0</v>
      </c>
    </row>
    <row r="19" spans="1:3" ht="15.6" x14ac:dyDescent="0.3">
      <c r="A19" s="3" t="s">
        <v>156</v>
      </c>
    </row>
    <row r="20" spans="1:3" x14ac:dyDescent="0.3">
      <c r="A20" s="6" t="s">
        <v>153</v>
      </c>
      <c r="B20" s="6" t="s">
        <v>127</v>
      </c>
      <c r="C20" s="6" t="s">
        <v>154</v>
      </c>
    </row>
    <row r="21" spans="1:3" x14ac:dyDescent="0.3">
      <c r="A21" s="18" t="s">
        <v>9</v>
      </c>
      <c r="B21" s="28">
        <f>COUNTIFS(Matrix!$S$2:$S$451,"INCLUDE",Matrix!$Z$2:$Z$451,"Design for Safety (DfS)")</f>
        <v>61</v>
      </c>
      <c r="C21" s="29">
        <f>IF($B$2=0,"-",B21/$B$2)</f>
        <v>0.80263157894736847</v>
      </c>
    </row>
    <row r="22" spans="1:3" x14ac:dyDescent="0.3">
      <c r="A22" s="18" t="s">
        <v>11</v>
      </c>
      <c r="B22" s="28">
        <f>COUNTIFS(Matrix!$S$2:$S$451,"INCLUDE",Matrix!$Z$2:$Z$451,"Design for Quality (DfQ)")</f>
        <v>8</v>
      </c>
      <c r="C22" s="29">
        <f>IF($B$2=0,"-",B22/$B$2)</f>
        <v>0.10526315789473684</v>
      </c>
    </row>
    <row r="23" spans="1:3" x14ac:dyDescent="0.3">
      <c r="A23" s="18" t="s">
        <v>69</v>
      </c>
      <c r="B23" s="28">
        <f>COUNTIFS(Matrix!$S$2:$S$451,"INCLUDE",Matrix!$Z$2:$Z$451,"Both")</f>
        <v>7</v>
      </c>
      <c r="C23" s="29">
        <f>IF($B$2=0,"-",B23/$B$2)</f>
        <v>9.2105263157894732E-2</v>
      </c>
    </row>
    <row r="24" spans="1:3" x14ac:dyDescent="0.3">
      <c r="A24" s="18" t="s">
        <v>76</v>
      </c>
      <c r="B24" s="28">
        <f>COUNTIFS(Matrix!$S$2:$S$451,"INCLUDE",Matrix!$Z$2:$Z$451,"Other")</f>
        <v>0</v>
      </c>
      <c r="C24" s="29">
        <f>IF($B$2=0,"-",B24/$B$2)</f>
        <v>0</v>
      </c>
    </row>
    <row r="26" spans="1:3" ht="15.6" x14ac:dyDescent="0.3">
      <c r="A26" s="3" t="s">
        <v>157</v>
      </c>
    </row>
    <row r="27" spans="1:3" x14ac:dyDescent="0.3">
      <c r="A27" s="6" t="s">
        <v>153</v>
      </c>
      <c r="B27" s="6" t="s">
        <v>127</v>
      </c>
      <c r="C27" s="6" t="s">
        <v>154</v>
      </c>
    </row>
    <row r="28" spans="1:3" x14ac:dyDescent="0.3">
      <c r="A28" s="18" t="s">
        <v>55</v>
      </c>
      <c r="B28" s="28">
        <f>COUNTIFS(Matrix!$S$2:$S$451,"INCLUDE",Matrix!$AC$2:$AC$451,"Single (one data type)")</f>
        <v>8</v>
      </c>
      <c r="C28" s="29">
        <f>IF($B$2=0,"-",B28/$B$2)</f>
        <v>0.10526315789473684</v>
      </c>
    </row>
    <row r="29" spans="1:3" x14ac:dyDescent="0.3">
      <c r="A29" s="18" t="s">
        <v>64</v>
      </c>
      <c r="B29" s="28">
        <f>COUNTIFS(Matrix!$S$2:$S$451,"INCLUDE",Matrix!$AC$2:$AC$451,"Multi (two or more data types)")</f>
        <v>68</v>
      </c>
      <c r="C29" s="29">
        <f>IF($B$2=0,"-",B29/$B$2)</f>
        <v>0.89473684210526316</v>
      </c>
    </row>
    <row r="31" spans="1:3" ht="15.6" x14ac:dyDescent="0.3">
      <c r="A31" s="3" t="s">
        <v>158</v>
      </c>
    </row>
    <row r="32" spans="1:3" x14ac:dyDescent="0.3">
      <c r="A32" s="6" t="s">
        <v>153</v>
      </c>
      <c r="B32" s="6" t="s">
        <v>127</v>
      </c>
      <c r="C32" s="6" t="s">
        <v>154</v>
      </c>
    </row>
    <row r="33" spans="1:3" x14ac:dyDescent="0.3">
      <c r="A33" s="18" t="s">
        <v>56</v>
      </c>
      <c r="B33" s="28">
        <f>COUNTIFS(Matrix!$S$2:$S$451,"INCLUDE",Matrix!$AD$2:$AD$451,"Conceptual (no test)")</f>
        <v>14</v>
      </c>
      <c r="C33" s="29">
        <f>IF($B$2=0,"-",B33/$B$2)</f>
        <v>0.18421052631578946</v>
      </c>
    </row>
    <row r="34" spans="1:3" x14ac:dyDescent="0.3">
      <c r="A34" s="18" t="s">
        <v>65</v>
      </c>
      <c r="B34" s="28">
        <f>COUNTIFS(Matrix!$S$2:$S$451,"INCLUDE",Matrix!$AD$2:$AD$451,"Simulation")</f>
        <v>10</v>
      </c>
      <c r="C34" s="29">
        <f>IF($B$2=0,"-",B34/$B$2)</f>
        <v>0.13157894736842105</v>
      </c>
    </row>
    <row r="35" spans="1:3" x14ac:dyDescent="0.3">
      <c r="A35" s="18" t="s">
        <v>72</v>
      </c>
      <c r="B35" s="28">
        <f>COUNTIFS(Matrix!$S$2:$S$451,"INCLUDE",Matrix!$AD$2:$AD$451,"Single case study")</f>
        <v>48</v>
      </c>
      <c r="C35" s="29">
        <f>IF($B$2=0,"-",B35/$B$2)</f>
        <v>0.63157894736842102</v>
      </c>
    </row>
    <row r="36" spans="1:3" x14ac:dyDescent="0.3">
      <c r="A36" s="18" t="s">
        <v>79</v>
      </c>
      <c r="B36" s="28">
        <f>COUNTIFS(Matrix!$S$2:$S$451,"INCLUDE",Matrix!$AD$2:$AD$451,"Cross-project (multiple real projects)")</f>
        <v>4</v>
      </c>
      <c r="C36" s="29">
        <f>IF($B$2=0,"-",B36/$B$2)</f>
        <v>5.2631578947368418E-2</v>
      </c>
    </row>
    <row r="38" spans="1:3" ht="15.6" x14ac:dyDescent="0.3">
      <c r="A38" s="3" t="s">
        <v>159</v>
      </c>
    </row>
    <row r="39" spans="1:3" x14ac:dyDescent="0.3">
      <c r="A39" s="6" t="s">
        <v>153</v>
      </c>
      <c r="B39" s="6" t="s">
        <v>127</v>
      </c>
      <c r="C39" s="6" t="s">
        <v>154</v>
      </c>
    </row>
    <row r="40" spans="1:3" x14ac:dyDescent="0.3">
      <c r="A40" s="18" t="s">
        <v>54</v>
      </c>
      <c r="B40" s="28">
        <f>COUNTIFS(Matrix!$S$2:$S$451,"INCLUDE",Matrix!$AB$2:$AB$451,"Computer Vision / CNN / object-detection")</f>
        <v>3</v>
      </c>
      <c r="C40" s="29">
        <f t="shared" ref="C40:C51" si="0">IF($B$2=0,"-",B40/$B$2)</f>
        <v>3.9473684210526314E-2</v>
      </c>
    </row>
    <row r="41" spans="1:3" x14ac:dyDescent="0.3">
      <c r="A41" s="18" t="s">
        <v>63</v>
      </c>
      <c r="B41" s="28">
        <f>COUNTIFS(Matrix!$S$2:$S$451,"INCLUDE",Matrix!$AB$2:$AB$451,"Graph Neural Network (GNN)")</f>
        <v>2</v>
      </c>
      <c r="C41" s="29">
        <f t="shared" si="0"/>
        <v>2.6315789473684209E-2</v>
      </c>
    </row>
    <row r="42" spans="1:3" x14ac:dyDescent="0.3">
      <c r="A42" s="18" t="s">
        <v>71</v>
      </c>
      <c r="B42" s="28">
        <f>COUNTIFS(Matrix!$S$2:$S$451,"INCLUDE",Matrix!$AB$2:$AB$451,"LSTM / RNN (recurrent networks)")</f>
        <v>0</v>
      </c>
      <c r="C42" s="29">
        <f t="shared" si="0"/>
        <v>0</v>
      </c>
    </row>
    <row r="43" spans="1:3" x14ac:dyDescent="0.3">
      <c r="A43" s="18" t="s">
        <v>78</v>
      </c>
      <c r="B43" s="28">
        <f>COUNTIFS(Matrix!$S$2:$S$451,"INCLUDE",Matrix!$AB$2:$AB$451,"Transformer / Large Language Model (LLM)")</f>
        <v>6</v>
      </c>
      <c r="C43" s="29">
        <f t="shared" si="0"/>
        <v>7.8947368421052627E-2</v>
      </c>
    </row>
    <row r="44" spans="1:3" x14ac:dyDescent="0.3">
      <c r="A44" s="18" t="s">
        <v>83</v>
      </c>
      <c r="B44" s="28">
        <f>COUNTIFS(Matrix!$S$2:$S$451,"INCLUDE",Matrix!$AB$2:$AB$451,"Reinforcement Learning (RL)")</f>
        <v>0</v>
      </c>
      <c r="C44" s="29">
        <f t="shared" si="0"/>
        <v>0</v>
      </c>
    </row>
    <row r="45" spans="1:3" x14ac:dyDescent="0.3">
      <c r="A45" s="18" t="s">
        <v>85</v>
      </c>
      <c r="B45" s="28">
        <f>COUNTIFS(Matrix!$S$2:$S$451,"INCLUDE",Matrix!$AB$2:$AB$451,"Bayesian / probabilistic")</f>
        <v>1</v>
      </c>
      <c r="C45" s="29">
        <f t="shared" si="0"/>
        <v>1.3157894736842105E-2</v>
      </c>
    </row>
    <row r="46" spans="1:3" x14ac:dyDescent="0.3">
      <c r="A46" s="18" t="s">
        <v>87</v>
      </c>
      <c r="B46" s="28">
        <f>COUNTIFS(Matrix!$S$2:$S$451,"INCLUDE",Matrix!$AB$2:$AB$451,"Agent-based model (ABM)")</f>
        <v>0</v>
      </c>
      <c r="C46" s="29">
        <f t="shared" si="0"/>
        <v>0</v>
      </c>
    </row>
    <row r="47" spans="1:3" x14ac:dyDescent="0.3">
      <c r="A47" s="18" t="s">
        <v>88</v>
      </c>
      <c r="B47" s="28">
        <f>COUNTIFS(Matrix!$S$2:$S$451,"INCLUDE",Matrix!$AB$2:$AB$451,"Finite Element Method / physics-based")</f>
        <v>9</v>
      </c>
      <c r="C47" s="29">
        <f t="shared" si="0"/>
        <v>0.11842105263157894</v>
      </c>
    </row>
    <row r="48" spans="1:3" x14ac:dyDescent="0.3">
      <c r="A48" s="18" t="s">
        <v>89</v>
      </c>
      <c r="B48" s="28">
        <f>COUNTIFS(Matrix!$S$2:$S$451,"INCLUDE",Matrix!$AB$2:$AB$451,"Ontology / semantic")</f>
        <v>3</v>
      </c>
      <c r="C48" s="29">
        <f t="shared" si="0"/>
        <v>3.9473684210526314E-2</v>
      </c>
    </row>
    <row r="49" spans="1:3" x14ac:dyDescent="0.3">
      <c r="A49" s="18" t="s">
        <v>90</v>
      </c>
      <c r="B49" s="28">
        <f>COUNTIFS(Matrix!$S$2:$S$451,"INCLUDE",Matrix!$AB$2:$AB$451,"Statistical / change-point")</f>
        <v>5</v>
      </c>
      <c r="C49" s="29">
        <f t="shared" si="0"/>
        <v>6.5789473684210523E-2</v>
      </c>
    </row>
    <row r="50" spans="1:3" x14ac:dyDescent="0.3">
      <c r="A50" s="18" t="s">
        <v>91</v>
      </c>
      <c r="B50" s="28">
        <f>COUNTIFS(Matrix!$S$2:$S$451,"INCLUDE",Matrix!$AB$2:$AB$451,"Digital Twin platform (no machine learning)")</f>
        <v>21</v>
      </c>
      <c r="C50" s="29">
        <f t="shared" si="0"/>
        <v>0.27631578947368424</v>
      </c>
    </row>
    <row r="51" spans="1:3" x14ac:dyDescent="0.3">
      <c r="A51" s="18" t="s">
        <v>92</v>
      </c>
      <c r="B51" s="28">
        <f>COUNTIFS(Matrix!$S$2:$S$451,"INCLUDE",Matrix!$AB$2:$AB$451,"Other / Mixed")</f>
        <v>15</v>
      </c>
      <c r="C51" s="29">
        <f t="shared" si="0"/>
        <v>0.19736842105263158</v>
      </c>
    </row>
    <row r="53" spans="1:3" ht="15.6" x14ac:dyDescent="0.3">
      <c r="A53" s="3" t="s">
        <v>160</v>
      </c>
    </row>
    <row r="54" spans="1:3" x14ac:dyDescent="0.3">
      <c r="A54" s="6" t="s">
        <v>161</v>
      </c>
      <c r="B54" s="6" t="s">
        <v>127</v>
      </c>
    </row>
    <row r="55" spans="1:3" x14ac:dyDescent="0.3">
      <c r="A55" s="18" t="s">
        <v>162</v>
      </c>
      <c r="B55" s="28">
        <f>COUNTIFS(Matrix!$S$2:$S$451,"INCLUDE",Matrix!$V$2:$V$451,1)</f>
        <v>3</v>
      </c>
    </row>
    <row r="56" spans="1:3" x14ac:dyDescent="0.3">
      <c r="A56" s="18" t="s">
        <v>163</v>
      </c>
      <c r="B56" s="28">
        <f>COUNTIFS(Matrix!$S$2:$S$451,"INCLUDE",Matrix!$W$2:$W$451,1)</f>
        <v>39</v>
      </c>
    </row>
    <row r="57" spans="1:3" x14ac:dyDescent="0.3">
      <c r="A57" s="18" t="s">
        <v>164</v>
      </c>
      <c r="B57" s="28">
        <f>COUNTIFS(Matrix!$S$2:$S$451,"INCLUDE",Matrix!$X$2:$X$451,1)</f>
        <v>41</v>
      </c>
    </row>
    <row r="58" spans="1:3" x14ac:dyDescent="0.3">
      <c r="A58" s="18" t="s">
        <v>165</v>
      </c>
      <c r="B58" s="28">
        <f>COUNTIFS(Matrix!$S$2:$S$451,"INCLUDE",Matrix!$Y$2:$Y$451,"Single")</f>
        <v>71</v>
      </c>
    </row>
    <row r="59" spans="1:3" x14ac:dyDescent="0.3">
      <c r="A59" s="18" t="s">
        <v>166</v>
      </c>
      <c r="B59" s="28">
        <f>COUNTIFS(Matrix!$S$2:$S$451,"INCLUDE",Matrix!$Y$2:$Y$451,"Multi")</f>
        <v>5</v>
      </c>
    </row>
  </sheetData>
  <phoneticPr fontId="11" type="noConversion"/>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82fa3fd3-029b-403d-91b4-1dc930cb0e60}" enabled="1" method="Standard" siteId="{4ae48b41-0137-4599-8661-fc641fe77bea}"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0_Guide</vt:lpstr>
      <vt:lpstr>1_CodeLists</vt:lpstr>
      <vt:lpstr>Matrix</vt:lpstr>
      <vt:lpstr>Step1_Report</vt:lpstr>
      <vt:lpstr>Step3_Report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Tim Hu</dc:creator>
  <cp:keywords/>
  <dc:description/>
  <cp:lastModifiedBy>Tim Hu</cp:lastModifiedBy>
  <cp:revision>0</cp:revision>
  <dcterms:created xsi:type="dcterms:W3CDTF">2026-08-09T15:02:47Z</dcterms:created>
  <dcterms:modified xsi:type="dcterms:W3CDTF">2026-08-14T16:22:49Z</dcterms:modified>
  <cp:category/>
  <cp:contentStatus/>
</cp:coreProperties>
</file>
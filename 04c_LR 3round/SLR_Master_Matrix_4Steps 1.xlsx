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E15BEBC2-D590-418F-9CB7-EEE7AAB5D360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0_Guide" sheetId="1" r:id="rId1"/>
    <sheet name="1_CodeLists" sheetId="2" r:id="rId2"/>
    <sheet name="Matrix" sheetId="3" r:id="rId3"/>
    <sheet name="Step1_Report" sheetId="4" r:id="rId4"/>
    <sheet name="Step3_Report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4" l="1"/>
  <c r="B4" i="4"/>
  <c r="Y451" i="3"/>
  <c r="S451" i="3"/>
  <c r="T451" i="3" s="1"/>
  <c r="L451" i="3"/>
  <c r="M451" i="3" s="1"/>
  <c r="Y450" i="3"/>
  <c r="S450" i="3"/>
  <c r="T450" i="3" s="1"/>
  <c r="L450" i="3"/>
  <c r="M450" i="3" s="1"/>
  <c r="Y449" i="3"/>
  <c r="S449" i="3"/>
  <c r="T449" i="3" s="1"/>
  <c r="L449" i="3"/>
  <c r="M449" i="3" s="1"/>
  <c r="Y448" i="3"/>
  <c r="S448" i="3"/>
  <c r="T448" i="3" s="1"/>
  <c r="L448" i="3"/>
  <c r="M448" i="3" s="1"/>
  <c r="Y447" i="3"/>
  <c r="S447" i="3"/>
  <c r="T447" i="3" s="1"/>
  <c r="L447" i="3"/>
  <c r="M447" i="3" s="1"/>
  <c r="Y446" i="3"/>
  <c r="S446" i="3"/>
  <c r="T446" i="3" s="1"/>
  <c r="L446" i="3"/>
  <c r="M446" i="3" s="1"/>
  <c r="Y445" i="3"/>
  <c r="S445" i="3"/>
  <c r="T445" i="3" s="1"/>
  <c r="L445" i="3"/>
  <c r="M445" i="3" s="1"/>
  <c r="Y444" i="3"/>
  <c r="S444" i="3"/>
  <c r="T444" i="3" s="1"/>
  <c r="L444" i="3"/>
  <c r="M444" i="3" s="1"/>
  <c r="Y443" i="3"/>
  <c r="S443" i="3"/>
  <c r="T443" i="3" s="1"/>
  <c r="L443" i="3"/>
  <c r="M443" i="3" s="1"/>
  <c r="Y442" i="3"/>
  <c r="S442" i="3"/>
  <c r="T442" i="3" s="1"/>
  <c r="L442" i="3"/>
  <c r="M442" i="3" s="1"/>
  <c r="Y441" i="3"/>
  <c r="S441" i="3"/>
  <c r="T441" i="3" s="1"/>
  <c r="L441" i="3"/>
  <c r="M441" i="3" s="1"/>
  <c r="Y440" i="3"/>
  <c r="S440" i="3"/>
  <c r="T440" i="3" s="1"/>
  <c r="L440" i="3"/>
  <c r="M440" i="3" s="1"/>
  <c r="Y439" i="3"/>
  <c r="S439" i="3"/>
  <c r="T439" i="3" s="1"/>
  <c r="L439" i="3"/>
  <c r="M439" i="3" s="1"/>
  <c r="Y438" i="3"/>
  <c r="S438" i="3"/>
  <c r="T438" i="3" s="1"/>
  <c r="L438" i="3"/>
  <c r="M438" i="3" s="1"/>
  <c r="Y437" i="3"/>
  <c r="S437" i="3"/>
  <c r="T437" i="3" s="1"/>
  <c r="L437" i="3"/>
  <c r="M437" i="3" s="1"/>
  <c r="Y436" i="3"/>
  <c r="S436" i="3"/>
  <c r="T436" i="3" s="1"/>
  <c r="L436" i="3"/>
  <c r="M436" i="3" s="1"/>
  <c r="Y435" i="3"/>
  <c r="S435" i="3"/>
  <c r="T435" i="3" s="1"/>
  <c r="L435" i="3"/>
  <c r="M435" i="3" s="1"/>
  <c r="Y434" i="3"/>
  <c r="S434" i="3"/>
  <c r="T434" i="3" s="1"/>
  <c r="L434" i="3"/>
  <c r="M434" i="3" s="1"/>
  <c r="Y433" i="3"/>
  <c r="S433" i="3"/>
  <c r="T433" i="3" s="1"/>
  <c r="L433" i="3"/>
  <c r="M433" i="3" s="1"/>
  <c r="Y432" i="3"/>
  <c r="S432" i="3"/>
  <c r="T432" i="3" s="1"/>
  <c r="L432" i="3"/>
  <c r="M432" i="3" s="1"/>
  <c r="Y431" i="3"/>
  <c r="S431" i="3"/>
  <c r="T431" i="3" s="1"/>
  <c r="L431" i="3"/>
  <c r="M431" i="3" s="1"/>
  <c r="Y430" i="3"/>
  <c r="S430" i="3"/>
  <c r="T430" i="3" s="1"/>
  <c r="L430" i="3"/>
  <c r="M430" i="3" s="1"/>
  <c r="Y429" i="3"/>
  <c r="S429" i="3"/>
  <c r="T429" i="3" s="1"/>
  <c r="L429" i="3"/>
  <c r="M429" i="3" s="1"/>
  <c r="Y428" i="3"/>
  <c r="S428" i="3"/>
  <c r="T428" i="3" s="1"/>
  <c r="L428" i="3"/>
  <c r="M428" i="3" s="1"/>
  <c r="Y427" i="3"/>
  <c r="S427" i="3"/>
  <c r="T427" i="3" s="1"/>
  <c r="L427" i="3"/>
  <c r="M427" i="3" s="1"/>
  <c r="Y426" i="3"/>
  <c r="S426" i="3"/>
  <c r="T426" i="3" s="1"/>
  <c r="L426" i="3"/>
  <c r="M426" i="3" s="1"/>
  <c r="Y425" i="3"/>
  <c r="S425" i="3"/>
  <c r="T425" i="3" s="1"/>
  <c r="L425" i="3"/>
  <c r="M425" i="3" s="1"/>
  <c r="Y424" i="3"/>
  <c r="S424" i="3"/>
  <c r="T424" i="3" s="1"/>
  <c r="L424" i="3"/>
  <c r="M424" i="3" s="1"/>
  <c r="Y423" i="3"/>
  <c r="S423" i="3"/>
  <c r="T423" i="3" s="1"/>
  <c r="L423" i="3"/>
  <c r="M423" i="3" s="1"/>
  <c r="Y422" i="3"/>
  <c r="S422" i="3"/>
  <c r="T422" i="3" s="1"/>
  <c r="L422" i="3"/>
  <c r="M422" i="3" s="1"/>
  <c r="Y421" i="3"/>
  <c r="S421" i="3"/>
  <c r="T421" i="3" s="1"/>
  <c r="L421" i="3"/>
  <c r="M421" i="3" s="1"/>
  <c r="Y420" i="3"/>
  <c r="S420" i="3"/>
  <c r="T420" i="3" s="1"/>
  <c r="L420" i="3"/>
  <c r="M420" i="3" s="1"/>
  <c r="Y419" i="3"/>
  <c r="S419" i="3"/>
  <c r="T419" i="3" s="1"/>
  <c r="L419" i="3"/>
  <c r="M419" i="3" s="1"/>
  <c r="Y418" i="3"/>
  <c r="S418" i="3"/>
  <c r="T418" i="3" s="1"/>
  <c r="L418" i="3"/>
  <c r="M418" i="3" s="1"/>
  <c r="Y417" i="3"/>
  <c r="S417" i="3"/>
  <c r="T417" i="3" s="1"/>
  <c r="L417" i="3"/>
  <c r="M417" i="3" s="1"/>
  <c r="Y416" i="3"/>
  <c r="S416" i="3"/>
  <c r="T416" i="3" s="1"/>
  <c r="L416" i="3"/>
  <c r="M416" i="3" s="1"/>
  <c r="Y415" i="3"/>
  <c r="S415" i="3"/>
  <c r="T415" i="3" s="1"/>
  <c r="L415" i="3"/>
  <c r="M415" i="3" s="1"/>
  <c r="Y414" i="3"/>
  <c r="S414" i="3"/>
  <c r="T414" i="3" s="1"/>
  <c r="L414" i="3"/>
  <c r="M414" i="3" s="1"/>
  <c r="Y413" i="3"/>
  <c r="S413" i="3"/>
  <c r="T413" i="3" s="1"/>
  <c r="L413" i="3"/>
  <c r="M413" i="3" s="1"/>
  <c r="Y412" i="3"/>
  <c r="S412" i="3"/>
  <c r="T412" i="3" s="1"/>
  <c r="L412" i="3"/>
  <c r="M412" i="3" s="1"/>
  <c r="Y411" i="3"/>
  <c r="S411" i="3"/>
  <c r="T411" i="3" s="1"/>
  <c r="L411" i="3"/>
  <c r="M411" i="3" s="1"/>
  <c r="Y410" i="3"/>
  <c r="S410" i="3"/>
  <c r="T410" i="3" s="1"/>
  <c r="L410" i="3"/>
  <c r="M410" i="3" s="1"/>
  <c r="Y409" i="3"/>
  <c r="S409" i="3"/>
  <c r="T409" i="3" s="1"/>
  <c r="L409" i="3"/>
  <c r="M409" i="3" s="1"/>
  <c r="Y408" i="3"/>
  <c r="S408" i="3"/>
  <c r="T408" i="3" s="1"/>
  <c r="L408" i="3"/>
  <c r="M408" i="3" s="1"/>
  <c r="Y407" i="3"/>
  <c r="S407" i="3"/>
  <c r="T407" i="3" s="1"/>
  <c r="L407" i="3"/>
  <c r="M407" i="3" s="1"/>
  <c r="Y406" i="3"/>
  <c r="S406" i="3"/>
  <c r="T406" i="3" s="1"/>
  <c r="L406" i="3"/>
  <c r="M406" i="3" s="1"/>
  <c r="Y405" i="3"/>
  <c r="S405" i="3"/>
  <c r="T405" i="3" s="1"/>
  <c r="L405" i="3"/>
  <c r="M405" i="3" s="1"/>
  <c r="Y404" i="3"/>
  <c r="S404" i="3"/>
  <c r="T404" i="3" s="1"/>
  <c r="L404" i="3"/>
  <c r="M404" i="3" s="1"/>
  <c r="Y403" i="3"/>
  <c r="S403" i="3"/>
  <c r="T403" i="3" s="1"/>
  <c r="L403" i="3"/>
  <c r="M403" i="3" s="1"/>
  <c r="Y402" i="3"/>
  <c r="S402" i="3"/>
  <c r="T402" i="3" s="1"/>
  <c r="L402" i="3"/>
  <c r="M402" i="3" s="1"/>
  <c r="Y401" i="3"/>
  <c r="S401" i="3"/>
  <c r="T401" i="3" s="1"/>
  <c r="L401" i="3"/>
  <c r="M401" i="3" s="1"/>
  <c r="Y400" i="3"/>
  <c r="S400" i="3"/>
  <c r="T400" i="3" s="1"/>
  <c r="L400" i="3"/>
  <c r="M400" i="3" s="1"/>
  <c r="Y399" i="3"/>
  <c r="S399" i="3"/>
  <c r="T399" i="3" s="1"/>
  <c r="L399" i="3"/>
  <c r="M399" i="3" s="1"/>
  <c r="Y398" i="3"/>
  <c r="S398" i="3"/>
  <c r="T398" i="3" s="1"/>
  <c r="L398" i="3"/>
  <c r="M398" i="3" s="1"/>
  <c r="Y397" i="3"/>
  <c r="S397" i="3"/>
  <c r="T397" i="3" s="1"/>
  <c r="L397" i="3"/>
  <c r="M397" i="3" s="1"/>
  <c r="Y396" i="3"/>
  <c r="S396" i="3"/>
  <c r="T396" i="3" s="1"/>
  <c r="L396" i="3"/>
  <c r="M396" i="3" s="1"/>
  <c r="Y395" i="3"/>
  <c r="S395" i="3"/>
  <c r="T395" i="3" s="1"/>
  <c r="L395" i="3"/>
  <c r="M395" i="3" s="1"/>
  <c r="Y394" i="3"/>
  <c r="S394" i="3"/>
  <c r="T394" i="3" s="1"/>
  <c r="L394" i="3"/>
  <c r="M394" i="3" s="1"/>
  <c r="Y393" i="3"/>
  <c r="S393" i="3"/>
  <c r="T393" i="3" s="1"/>
  <c r="L393" i="3"/>
  <c r="M393" i="3" s="1"/>
  <c r="Y392" i="3"/>
  <c r="S392" i="3"/>
  <c r="T392" i="3" s="1"/>
  <c r="L392" i="3"/>
  <c r="M392" i="3" s="1"/>
  <c r="Y391" i="3"/>
  <c r="S391" i="3"/>
  <c r="T391" i="3" s="1"/>
  <c r="L391" i="3"/>
  <c r="M391" i="3" s="1"/>
  <c r="Y390" i="3"/>
  <c r="S390" i="3"/>
  <c r="T390" i="3" s="1"/>
  <c r="L390" i="3"/>
  <c r="M390" i="3" s="1"/>
  <c r="Y389" i="3"/>
  <c r="S389" i="3"/>
  <c r="T389" i="3" s="1"/>
  <c r="L389" i="3"/>
  <c r="M389" i="3" s="1"/>
  <c r="Y388" i="3"/>
  <c r="S388" i="3"/>
  <c r="T388" i="3" s="1"/>
  <c r="L388" i="3"/>
  <c r="M388" i="3" s="1"/>
  <c r="Y387" i="3"/>
  <c r="S387" i="3"/>
  <c r="T387" i="3" s="1"/>
  <c r="L387" i="3"/>
  <c r="M387" i="3" s="1"/>
  <c r="Y386" i="3"/>
  <c r="S386" i="3"/>
  <c r="T386" i="3" s="1"/>
  <c r="L386" i="3"/>
  <c r="M386" i="3" s="1"/>
  <c r="Y385" i="3"/>
  <c r="S385" i="3"/>
  <c r="T385" i="3" s="1"/>
  <c r="L385" i="3"/>
  <c r="M385" i="3" s="1"/>
  <c r="Y384" i="3"/>
  <c r="S384" i="3"/>
  <c r="T384" i="3" s="1"/>
  <c r="L384" i="3"/>
  <c r="M384" i="3" s="1"/>
  <c r="Y383" i="3"/>
  <c r="S383" i="3"/>
  <c r="T383" i="3" s="1"/>
  <c r="L383" i="3"/>
  <c r="M383" i="3" s="1"/>
  <c r="Y382" i="3"/>
  <c r="S382" i="3"/>
  <c r="T382" i="3" s="1"/>
  <c r="L382" i="3"/>
  <c r="M382" i="3" s="1"/>
  <c r="Y381" i="3"/>
  <c r="S381" i="3"/>
  <c r="T381" i="3" s="1"/>
  <c r="L381" i="3"/>
  <c r="M381" i="3" s="1"/>
  <c r="Y380" i="3"/>
  <c r="S380" i="3"/>
  <c r="T380" i="3" s="1"/>
  <c r="L380" i="3"/>
  <c r="M380" i="3" s="1"/>
  <c r="Y379" i="3"/>
  <c r="S379" i="3"/>
  <c r="T379" i="3" s="1"/>
  <c r="L379" i="3"/>
  <c r="M379" i="3" s="1"/>
  <c r="Y378" i="3"/>
  <c r="S378" i="3"/>
  <c r="T378" i="3" s="1"/>
  <c r="L378" i="3"/>
  <c r="M378" i="3" s="1"/>
  <c r="Y377" i="3"/>
  <c r="S377" i="3"/>
  <c r="T377" i="3" s="1"/>
  <c r="L377" i="3"/>
  <c r="M377" i="3" s="1"/>
  <c r="Y376" i="3"/>
  <c r="S376" i="3"/>
  <c r="T376" i="3" s="1"/>
  <c r="L376" i="3"/>
  <c r="M376" i="3" s="1"/>
  <c r="Y375" i="3"/>
  <c r="S375" i="3"/>
  <c r="T375" i="3" s="1"/>
  <c r="L375" i="3"/>
  <c r="M375" i="3" s="1"/>
  <c r="Y374" i="3"/>
  <c r="S374" i="3"/>
  <c r="T374" i="3" s="1"/>
  <c r="L374" i="3"/>
  <c r="M374" i="3" s="1"/>
  <c r="Y373" i="3"/>
  <c r="S373" i="3"/>
  <c r="T373" i="3" s="1"/>
  <c r="L373" i="3"/>
  <c r="M373" i="3" s="1"/>
  <c r="Y372" i="3"/>
  <c r="S372" i="3"/>
  <c r="T372" i="3" s="1"/>
  <c r="L372" i="3"/>
  <c r="M372" i="3" s="1"/>
  <c r="Y371" i="3"/>
  <c r="S371" i="3"/>
  <c r="T371" i="3" s="1"/>
  <c r="L371" i="3"/>
  <c r="M371" i="3" s="1"/>
  <c r="Y370" i="3"/>
  <c r="S370" i="3"/>
  <c r="T370" i="3" s="1"/>
  <c r="L370" i="3"/>
  <c r="M370" i="3" s="1"/>
  <c r="Y369" i="3"/>
  <c r="S369" i="3"/>
  <c r="T369" i="3" s="1"/>
  <c r="L369" i="3"/>
  <c r="M369" i="3" s="1"/>
  <c r="Y368" i="3"/>
  <c r="S368" i="3"/>
  <c r="T368" i="3" s="1"/>
  <c r="L368" i="3"/>
  <c r="M368" i="3" s="1"/>
  <c r="Y367" i="3"/>
  <c r="S367" i="3"/>
  <c r="T367" i="3" s="1"/>
  <c r="L367" i="3"/>
  <c r="M367" i="3" s="1"/>
  <c r="Y366" i="3"/>
  <c r="S366" i="3"/>
  <c r="T366" i="3" s="1"/>
  <c r="L366" i="3"/>
  <c r="M366" i="3" s="1"/>
  <c r="Y365" i="3"/>
  <c r="S365" i="3"/>
  <c r="T365" i="3" s="1"/>
  <c r="L365" i="3"/>
  <c r="M365" i="3" s="1"/>
  <c r="Y364" i="3"/>
  <c r="S364" i="3"/>
  <c r="T364" i="3" s="1"/>
  <c r="L364" i="3"/>
  <c r="M364" i="3" s="1"/>
  <c r="Y363" i="3"/>
  <c r="S363" i="3"/>
  <c r="T363" i="3" s="1"/>
  <c r="L363" i="3"/>
  <c r="M363" i="3" s="1"/>
  <c r="Y362" i="3"/>
  <c r="S362" i="3"/>
  <c r="T362" i="3" s="1"/>
  <c r="L362" i="3"/>
  <c r="M362" i="3" s="1"/>
  <c r="Y361" i="3"/>
  <c r="S361" i="3"/>
  <c r="T361" i="3" s="1"/>
  <c r="L361" i="3"/>
  <c r="M361" i="3" s="1"/>
  <c r="Y360" i="3"/>
  <c r="S360" i="3"/>
  <c r="T360" i="3" s="1"/>
  <c r="L360" i="3"/>
  <c r="M360" i="3" s="1"/>
  <c r="Y359" i="3"/>
  <c r="S359" i="3"/>
  <c r="T359" i="3" s="1"/>
  <c r="L359" i="3"/>
  <c r="M359" i="3" s="1"/>
  <c r="Y358" i="3"/>
  <c r="S358" i="3"/>
  <c r="T358" i="3" s="1"/>
  <c r="L358" i="3"/>
  <c r="M358" i="3" s="1"/>
  <c r="Y357" i="3"/>
  <c r="S357" i="3"/>
  <c r="T357" i="3" s="1"/>
  <c r="L357" i="3"/>
  <c r="M357" i="3" s="1"/>
  <c r="Y356" i="3"/>
  <c r="S356" i="3"/>
  <c r="T356" i="3" s="1"/>
  <c r="L356" i="3"/>
  <c r="M356" i="3" s="1"/>
  <c r="Y355" i="3"/>
  <c r="S355" i="3"/>
  <c r="T355" i="3" s="1"/>
  <c r="L355" i="3"/>
  <c r="M355" i="3" s="1"/>
  <c r="Y354" i="3"/>
  <c r="S354" i="3"/>
  <c r="T354" i="3" s="1"/>
  <c r="L354" i="3"/>
  <c r="M354" i="3" s="1"/>
  <c r="Y353" i="3"/>
  <c r="S353" i="3"/>
  <c r="T353" i="3" s="1"/>
  <c r="L353" i="3"/>
  <c r="M353" i="3" s="1"/>
  <c r="Y352" i="3"/>
  <c r="S352" i="3"/>
  <c r="T352" i="3" s="1"/>
  <c r="L352" i="3"/>
  <c r="M352" i="3" s="1"/>
  <c r="Y351" i="3"/>
  <c r="S351" i="3"/>
  <c r="T351" i="3" s="1"/>
  <c r="L351" i="3"/>
  <c r="M351" i="3" s="1"/>
  <c r="Y350" i="3"/>
  <c r="S350" i="3"/>
  <c r="T350" i="3" s="1"/>
  <c r="L350" i="3"/>
  <c r="M350" i="3" s="1"/>
  <c r="Y349" i="3"/>
  <c r="S349" i="3"/>
  <c r="T349" i="3" s="1"/>
  <c r="L349" i="3"/>
  <c r="M349" i="3" s="1"/>
  <c r="Y348" i="3"/>
  <c r="S348" i="3"/>
  <c r="T348" i="3" s="1"/>
  <c r="L348" i="3"/>
  <c r="M348" i="3" s="1"/>
  <c r="Y347" i="3"/>
  <c r="S347" i="3"/>
  <c r="T347" i="3" s="1"/>
  <c r="L347" i="3"/>
  <c r="M347" i="3" s="1"/>
  <c r="Y346" i="3"/>
  <c r="S346" i="3"/>
  <c r="T346" i="3" s="1"/>
  <c r="L346" i="3"/>
  <c r="M346" i="3" s="1"/>
  <c r="Y345" i="3"/>
  <c r="S345" i="3"/>
  <c r="T345" i="3" s="1"/>
  <c r="L345" i="3"/>
  <c r="M345" i="3" s="1"/>
  <c r="Y344" i="3"/>
  <c r="S344" i="3"/>
  <c r="T344" i="3" s="1"/>
  <c r="L344" i="3"/>
  <c r="M344" i="3" s="1"/>
  <c r="Y343" i="3"/>
  <c r="S343" i="3"/>
  <c r="T343" i="3" s="1"/>
  <c r="L343" i="3"/>
  <c r="M343" i="3" s="1"/>
  <c r="Y342" i="3"/>
  <c r="S342" i="3"/>
  <c r="T342" i="3" s="1"/>
  <c r="L342" i="3"/>
  <c r="M342" i="3" s="1"/>
  <c r="Y341" i="3"/>
  <c r="S341" i="3"/>
  <c r="T341" i="3" s="1"/>
  <c r="L341" i="3"/>
  <c r="M341" i="3" s="1"/>
  <c r="Y340" i="3"/>
  <c r="S340" i="3"/>
  <c r="T340" i="3" s="1"/>
  <c r="L340" i="3"/>
  <c r="M340" i="3" s="1"/>
  <c r="Y339" i="3"/>
  <c r="S339" i="3"/>
  <c r="T339" i="3" s="1"/>
  <c r="L339" i="3"/>
  <c r="M339" i="3" s="1"/>
  <c r="Y338" i="3"/>
  <c r="S338" i="3"/>
  <c r="T338" i="3" s="1"/>
  <c r="L338" i="3"/>
  <c r="M338" i="3" s="1"/>
  <c r="Y337" i="3"/>
  <c r="S337" i="3"/>
  <c r="T337" i="3" s="1"/>
  <c r="L337" i="3"/>
  <c r="M337" i="3" s="1"/>
  <c r="Y336" i="3"/>
  <c r="S336" i="3"/>
  <c r="T336" i="3" s="1"/>
  <c r="L336" i="3"/>
  <c r="M336" i="3" s="1"/>
  <c r="Y335" i="3"/>
  <c r="S335" i="3"/>
  <c r="T335" i="3" s="1"/>
  <c r="L335" i="3"/>
  <c r="M335" i="3" s="1"/>
  <c r="Y334" i="3"/>
  <c r="S334" i="3"/>
  <c r="T334" i="3" s="1"/>
  <c r="L334" i="3"/>
  <c r="M334" i="3" s="1"/>
  <c r="Y333" i="3"/>
  <c r="S333" i="3"/>
  <c r="T333" i="3" s="1"/>
  <c r="L333" i="3"/>
  <c r="M333" i="3" s="1"/>
  <c r="Y332" i="3"/>
  <c r="S332" i="3"/>
  <c r="T332" i="3" s="1"/>
  <c r="L332" i="3"/>
  <c r="M332" i="3" s="1"/>
  <c r="Y331" i="3"/>
  <c r="S331" i="3"/>
  <c r="T331" i="3" s="1"/>
  <c r="L331" i="3"/>
  <c r="M331" i="3" s="1"/>
  <c r="Y330" i="3"/>
  <c r="S330" i="3"/>
  <c r="T330" i="3" s="1"/>
  <c r="L330" i="3"/>
  <c r="M330" i="3" s="1"/>
  <c r="Y329" i="3"/>
  <c r="S329" i="3"/>
  <c r="T329" i="3" s="1"/>
  <c r="L329" i="3"/>
  <c r="M329" i="3" s="1"/>
  <c r="Y328" i="3"/>
  <c r="S328" i="3"/>
  <c r="T328" i="3" s="1"/>
  <c r="L328" i="3"/>
  <c r="M328" i="3" s="1"/>
  <c r="Y327" i="3"/>
  <c r="S327" i="3"/>
  <c r="T327" i="3" s="1"/>
  <c r="L327" i="3"/>
  <c r="M327" i="3" s="1"/>
  <c r="Y326" i="3"/>
  <c r="S326" i="3"/>
  <c r="T326" i="3" s="1"/>
  <c r="L326" i="3"/>
  <c r="M326" i="3" s="1"/>
  <c r="Y325" i="3"/>
  <c r="S325" i="3"/>
  <c r="T325" i="3" s="1"/>
  <c r="L325" i="3"/>
  <c r="M325" i="3" s="1"/>
  <c r="Y324" i="3"/>
  <c r="S324" i="3"/>
  <c r="T324" i="3" s="1"/>
  <c r="L324" i="3"/>
  <c r="M324" i="3" s="1"/>
  <c r="Y323" i="3"/>
  <c r="S323" i="3"/>
  <c r="T323" i="3" s="1"/>
  <c r="L323" i="3"/>
  <c r="M323" i="3" s="1"/>
  <c r="Y322" i="3"/>
  <c r="S322" i="3"/>
  <c r="T322" i="3" s="1"/>
  <c r="L322" i="3"/>
  <c r="M322" i="3" s="1"/>
  <c r="Y321" i="3"/>
  <c r="S321" i="3"/>
  <c r="T321" i="3" s="1"/>
  <c r="L321" i="3"/>
  <c r="M321" i="3" s="1"/>
  <c r="Y320" i="3"/>
  <c r="S320" i="3"/>
  <c r="T320" i="3" s="1"/>
  <c r="L320" i="3"/>
  <c r="M320" i="3" s="1"/>
  <c r="Y319" i="3"/>
  <c r="S319" i="3"/>
  <c r="T319" i="3" s="1"/>
  <c r="L319" i="3"/>
  <c r="M319" i="3" s="1"/>
  <c r="Y318" i="3"/>
  <c r="S318" i="3"/>
  <c r="T318" i="3" s="1"/>
  <c r="L318" i="3"/>
  <c r="M318" i="3" s="1"/>
  <c r="Y317" i="3"/>
  <c r="S317" i="3"/>
  <c r="T317" i="3" s="1"/>
  <c r="L317" i="3"/>
  <c r="M317" i="3" s="1"/>
  <c r="Y316" i="3"/>
  <c r="S316" i="3"/>
  <c r="T316" i="3" s="1"/>
  <c r="L316" i="3"/>
  <c r="M316" i="3" s="1"/>
  <c r="Y315" i="3"/>
  <c r="S315" i="3"/>
  <c r="T315" i="3" s="1"/>
  <c r="L315" i="3"/>
  <c r="M315" i="3" s="1"/>
  <c r="Y314" i="3"/>
  <c r="S314" i="3"/>
  <c r="T314" i="3" s="1"/>
  <c r="L314" i="3"/>
  <c r="M314" i="3" s="1"/>
  <c r="Y313" i="3"/>
  <c r="S313" i="3"/>
  <c r="T313" i="3" s="1"/>
  <c r="L313" i="3"/>
  <c r="M313" i="3" s="1"/>
  <c r="Y312" i="3"/>
  <c r="S312" i="3"/>
  <c r="T312" i="3" s="1"/>
  <c r="L312" i="3"/>
  <c r="M312" i="3" s="1"/>
  <c r="Y311" i="3"/>
  <c r="S311" i="3"/>
  <c r="T311" i="3" s="1"/>
  <c r="L311" i="3"/>
  <c r="M311" i="3" s="1"/>
  <c r="Y310" i="3"/>
  <c r="S310" i="3"/>
  <c r="T310" i="3" s="1"/>
  <c r="L310" i="3"/>
  <c r="M310" i="3" s="1"/>
  <c r="Y309" i="3"/>
  <c r="S309" i="3"/>
  <c r="T309" i="3" s="1"/>
  <c r="L309" i="3"/>
  <c r="M309" i="3" s="1"/>
  <c r="Y308" i="3"/>
  <c r="S308" i="3"/>
  <c r="T308" i="3" s="1"/>
  <c r="L308" i="3"/>
  <c r="M308" i="3" s="1"/>
  <c r="Y307" i="3"/>
  <c r="S307" i="3"/>
  <c r="T307" i="3" s="1"/>
  <c r="L307" i="3"/>
  <c r="M307" i="3" s="1"/>
  <c r="Y306" i="3"/>
  <c r="S306" i="3"/>
  <c r="T306" i="3" s="1"/>
  <c r="L306" i="3"/>
  <c r="M306" i="3" s="1"/>
  <c r="Y305" i="3"/>
  <c r="S305" i="3"/>
  <c r="T305" i="3" s="1"/>
  <c r="L305" i="3"/>
  <c r="M305" i="3" s="1"/>
  <c r="Y304" i="3"/>
  <c r="S304" i="3"/>
  <c r="T304" i="3" s="1"/>
  <c r="L304" i="3"/>
  <c r="M304" i="3" s="1"/>
  <c r="Y303" i="3"/>
  <c r="S303" i="3"/>
  <c r="T303" i="3" s="1"/>
  <c r="L303" i="3"/>
  <c r="M303" i="3" s="1"/>
  <c r="Y302" i="3"/>
  <c r="S302" i="3"/>
  <c r="T302" i="3" s="1"/>
  <c r="L302" i="3"/>
  <c r="M302" i="3" s="1"/>
  <c r="Y301" i="3"/>
  <c r="S301" i="3"/>
  <c r="T301" i="3" s="1"/>
  <c r="L301" i="3"/>
  <c r="M301" i="3" s="1"/>
  <c r="Y300" i="3"/>
  <c r="S300" i="3"/>
  <c r="T300" i="3" s="1"/>
  <c r="L300" i="3"/>
  <c r="M300" i="3" s="1"/>
  <c r="Y299" i="3"/>
  <c r="S299" i="3"/>
  <c r="T299" i="3" s="1"/>
  <c r="L299" i="3"/>
  <c r="M299" i="3" s="1"/>
  <c r="Y298" i="3"/>
  <c r="S298" i="3"/>
  <c r="T298" i="3" s="1"/>
  <c r="L298" i="3"/>
  <c r="M298" i="3" s="1"/>
  <c r="Y297" i="3"/>
  <c r="S297" i="3"/>
  <c r="T297" i="3" s="1"/>
  <c r="L297" i="3"/>
  <c r="M297" i="3" s="1"/>
  <c r="Y296" i="3"/>
  <c r="S296" i="3"/>
  <c r="T296" i="3" s="1"/>
  <c r="L296" i="3"/>
  <c r="M296" i="3" s="1"/>
  <c r="Y295" i="3"/>
  <c r="S295" i="3"/>
  <c r="T295" i="3" s="1"/>
  <c r="L295" i="3"/>
  <c r="M295" i="3" s="1"/>
  <c r="Y294" i="3"/>
  <c r="S294" i="3"/>
  <c r="T294" i="3" s="1"/>
  <c r="L294" i="3"/>
  <c r="M294" i="3" s="1"/>
  <c r="Y293" i="3"/>
  <c r="S293" i="3"/>
  <c r="T293" i="3" s="1"/>
  <c r="L293" i="3"/>
  <c r="M293" i="3" s="1"/>
  <c r="Y292" i="3"/>
  <c r="S292" i="3"/>
  <c r="T292" i="3" s="1"/>
  <c r="L292" i="3"/>
  <c r="M292" i="3" s="1"/>
  <c r="Y291" i="3"/>
  <c r="S291" i="3"/>
  <c r="T291" i="3" s="1"/>
  <c r="L291" i="3"/>
  <c r="M291" i="3" s="1"/>
  <c r="Y290" i="3"/>
  <c r="S290" i="3"/>
  <c r="T290" i="3" s="1"/>
  <c r="L290" i="3"/>
  <c r="M290" i="3" s="1"/>
  <c r="Y289" i="3"/>
  <c r="S289" i="3"/>
  <c r="T289" i="3" s="1"/>
  <c r="L289" i="3"/>
  <c r="M289" i="3" s="1"/>
  <c r="Y288" i="3"/>
  <c r="S288" i="3"/>
  <c r="T288" i="3" s="1"/>
  <c r="L288" i="3"/>
  <c r="M288" i="3" s="1"/>
  <c r="Y287" i="3"/>
  <c r="S287" i="3"/>
  <c r="T287" i="3" s="1"/>
  <c r="L287" i="3"/>
  <c r="M287" i="3" s="1"/>
  <c r="Y286" i="3"/>
  <c r="S286" i="3"/>
  <c r="T286" i="3" s="1"/>
  <c r="L286" i="3"/>
  <c r="M286" i="3" s="1"/>
  <c r="Y285" i="3"/>
  <c r="S285" i="3"/>
  <c r="T285" i="3" s="1"/>
  <c r="L285" i="3"/>
  <c r="M285" i="3" s="1"/>
  <c r="Y284" i="3"/>
  <c r="S284" i="3"/>
  <c r="T284" i="3" s="1"/>
  <c r="L284" i="3"/>
  <c r="M284" i="3" s="1"/>
  <c r="Y283" i="3"/>
  <c r="S283" i="3"/>
  <c r="T283" i="3" s="1"/>
  <c r="L283" i="3"/>
  <c r="M283" i="3" s="1"/>
  <c r="Y282" i="3"/>
  <c r="S282" i="3"/>
  <c r="T282" i="3" s="1"/>
  <c r="L282" i="3"/>
  <c r="M282" i="3" s="1"/>
  <c r="Y281" i="3"/>
  <c r="S281" i="3"/>
  <c r="T281" i="3" s="1"/>
  <c r="L281" i="3"/>
  <c r="M281" i="3" s="1"/>
  <c r="Y280" i="3"/>
  <c r="S280" i="3"/>
  <c r="T280" i="3" s="1"/>
  <c r="L280" i="3"/>
  <c r="M280" i="3" s="1"/>
  <c r="Y279" i="3"/>
  <c r="S279" i="3"/>
  <c r="T279" i="3" s="1"/>
  <c r="L279" i="3"/>
  <c r="M279" i="3" s="1"/>
  <c r="Y278" i="3"/>
  <c r="S278" i="3"/>
  <c r="T278" i="3" s="1"/>
  <c r="L278" i="3"/>
  <c r="M278" i="3" s="1"/>
  <c r="Y277" i="3"/>
  <c r="S277" i="3"/>
  <c r="T277" i="3" s="1"/>
  <c r="L277" i="3"/>
  <c r="M277" i="3" s="1"/>
  <c r="Y276" i="3"/>
  <c r="S276" i="3"/>
  <c r="T276" i="3" s="1"/>
  <c r="L276" i="3"/>
  <c r="M276" i="3" s="1"/>
  <c r="Y275" i="3"/>
  <c r="S275" i="3"/>
  <c r="T275" i="3" s="1"/>
  <c r="L275" i="3"/>
  <c r="M275" i="3" s="1"/>
  <c r="Y274" i="3"/>
  <c r="S274" i="3"/>
  <c r="T274" i="3" s="1"/>
  <c r="L274" i="3"/>
  <c r="M274" i="3" s="1"/>
  <c r="Y273" i="3"/>
  <c r="S273" i="3"/>
  <c r="T273" i="3" s="1"/>
  <c r="L273" i="3"/>
  <c r="M273" i="3" s="1"/>
  <c r="Y272" i="3"/>
  <c r="S272" i="3"/>
  <c r="T272" i="3" s="1"/>
  <c r="L272" i="3"/>
  <c r="M272" i="3" s="1"/>
  <c r="Y271" i="3"/>
  <c r="S271" i="3"/>
  <c r="T271" i="3" s="1"/>
  <c r="L271" i="3"/>
  <c r="M271" i="3" s="1"/>
  <c r="Y270" i="3"/>
  <c r="S270" i="3"/>
  <c r="T270" i="3" s="1"/>
  <c r="L270" i="3"/>
  <c r="M270" i="3" s="1"/>
  <c r="Y269" i="3"/>
  <c r="S269" i="3"/>
  <c r="T269" i="3" s="1"/>
  <c r="L269" i="3"/>
  <c r="M269" i="3" s="1"/>
  <c r="Y268" i="3"/>
  <c r="S268" i="3"/>
  <c r="T268" i="3" s="1"/>
  <c r="L268" i="3"/>
  <c r="M268" i="3" s="1"/>
  <c r="Y267" i="3"/>
  <c r="S267" i="3"/>
  <c r="T267" i="3" s="1"/>
  <c r="L267" i="3"/>
  <c r="M267" i="3" s="1"/>
  <c r="Y266" i="3"/>
  <c r="S266" i="3"/>
  <c r="T266" i="3" s="1"/>
  <c r="L266" i="3"/>
  <c r="M266" i="3" s="1"/>
  <c r="Y265" i="3"/>
  <c r="S265" i="3"/>
  <c r="T265" i="3" s="1"/>
  <c r="L265" i="3"/>
  <c r="M265" i="3" s="1"/>
  <c r="Y264" i="3"/>
  <c r="S264" i="3"/>
  <c r="T264" i="3" s="1"/>
  <c r="L264" i="3"/>
  <c r="M264" i="3" s="1"/>
  <c r="Y263" i="3"/>
  <c r="S263" i="3"/>
  <c r="T263" i="3" s="1"/>
  <c r="L263" i="3"/>
  <c r="M263" i="3" s="1"/>
  <c r="Y262" i="3"/>
  <c r="S262" i="3"/>
  <c r="T262" i="3" s="1"/>
  <c r="L262" i="3"/>
  <c r="M262" i="3" s="1"/>
  <c r="Y261" i="3"/>
  <c r="S261" i="3"/>
  <c r="T261" i="3" s="1"/>
  <c r="L261" i="3"/>
  <c r="M261" i="3" s="1"/>
  <c r="Y260" i="3"/>
  <c r="S260" i="3"/>
  <c r="T260" i="3" s="1"/>
  <c r="L260" i="3"/>
  <c r="M260" i="3" s="1"/>
  <c r="Y259" i="3"/>
  <c r="S259" i="3"/>
  <c r="T259" i="3" s="1"/>
  <c r="L259" i="3"/>
  <c r="M259" i="3" s="1"/>
  <c r="Y258" i="3"/>
  <c r="S258" i="3"/>
  <c r="T258" i="3" s="1"/>
  <c r="L258" i="3"/>
  <c r="M258" i="3" s="1"/>
  <c r="Y257" i="3"/>
  <c r="S257" i="3"/>
  <c r="T257" i="3" s="1"/>
  <c r="L257" i="3"/>
  <c r="M257" i="3" s="1"/>
  <c r="Y256" i="3"/>
  <c r="S256" i="3"/>
  <c r="T256" i="3" s="1"/>
  <c r="L256" i="3"/>
  <c r="M256" i="3" s="1"/>
  <c r="Y255" i="3"/>
  <c r="S255" i="3"/>
  <c r="T255" i="3" s="1"/>
  <c r="L255" i="3"/>
  <c r="M255" i="3" s="1"/>
  <c r="Y254" i="3"/>
  <c r="S254" i="3"/>
  <c r="T254" i="3" s="1"/>
  <c r="L254" i="3"/>
  <c r="M254" i="3" s="1"/>
  <c r="Y253" i="3"/>
  <c r="S253" i="3"/>
  <c r="T253" i="3" s="1"/>
  <c r="L253" i="3"/>
  <c r="M253" i="3" s="1"/>
  <c r="Y252" i="3"/>
  <c r="S252" i="3"/>
  <c r="T252" i="3" s="1"/>
  <c r="L252" i="3"/>
  <c r="M252" i="3" s="1"/>
  <c r="Y251" i="3"/>
  <c r="S251" i="3"/>
  <c r="T251" i="3" s="1"/>
  <c r="L251" i="3"/>
  <c r="M251" i="3" s="1"/>
  <c r="Y250" i="3"/>
  <c r="S250" i="3"/>
  <c r="T250" i="3" s="1"/>
  <c r="L250" i="3"/>
  <c r="M250" i="3" s="1"/>
  <c r="Y249" i="3"/>
  <c r="S249" i="3"/>
  <c r="T249" i="3" s="1"/>
  <c r="L249" i="3"/>
  <c r="M249" i="3" s="1"/>
  <c r="Y248" i="3"/>
  <c r="S248" i="3"/>
  <c r="T248" i="3" s="1"/>
  <c r="L248" i="3"/>
  <c r="M248" i="3" s="1"/>
  <c r="Y247" i="3"/>
  <c r="S247" i="3"/>
  <c r="T247" i="3" s="1"/>
  <c r="L247" i="3"/>
  <c r="M247" i="3" s="1"/>
  <c r="Y246" i="3"/>
  <c r="S246" i="3"/>
  <c r="T246" i="3" s="1"/>
  <c r="L246" i="3"/>
  <c r="M246" i="3" s="1"/>
  <c r="Y245" i="3"/>
  <c r="S245" i="3"/>
  <c r="T245" i="3" s="1"/>
  <c r="L245" i="3"/>
  <c r="M245" i="3" s="1"/>
  <c r="Y244" i="3"/>
  <c r="S244" i="3"/>
  <c r="T244" i="3" s="1"/>
  <c r="L244" i="3"/>
  <c r="M244" i="3" s="1"/>
  <c r="Y243" i="3"/>
  <c r="S243" i="3"/>
  <c r="T243" i="3" s="1"/>
  <c r="L243" i="3"/>
  <c r="M243" i="3" s="1"/>
  <c r="Y242" i="3"/>
  <c r="S242" i="3"/>
  <c r="T242" i="3" s="1"/>
  <c r="L242" i="3"/>
  <c r="M242" i="3" s="1"/>
  <c r="Y241" i="3"/>
  <c r="S241" i="3"/>
  <c r="T241" i="3" s="1"/>
  <c r="L241" i="3"/>
  <c r="M241" i="3" s="1"/>
  <c r="Y240" i="3"/>
  <c r="S240" i="3"/>
  <c r="T240" i="3" s="1"/>
  <c r="L240" i="3"/>
  <c r="M240" i="3" s="1"/>
  <c r="Y239" i="3"/>
  <c r="S239" i="3"/>
  <c r="T239" i="3" s="1"/>
  <c r="L239" i="3"/>
  <c r="M239" i="3" s="1"/>
  <c r="Y238" i="3"/>
  <c r="S238" i="3"/>
  <c r="T238" i="3" s="1"/>
  <c r="L238" i="3"/>
  <c r="M238" i="3" s="1"/>
  <c r="Y237" i="3"/>
  <c r="S237" i="3"/>
  <c r="T237" i="3" s="1"/>
  <c r="L237" i="3"/>
  <c r="M237" i="3" s="1"/>
  <c r="Y236" i="3"/>
  <c r="S236" i="3"/>
  <c r="T236" i="3" s="1"/>
  <c r="L236" i="3"/>
  <c r="M236" i="3" s="1"/>
  <c r="Y235" i="3"/>
  <c r="S235" i="3"/>
  <c r="T235" i="3" s="1"/>
  <c r="L235" i="3"/>
  <c r="M235" i="3" s="1"/>
  <c r="Y234" i="3"/>
  <c r="S234" i="3"/>
  <c r="T234" i="3" s="1"/>
  <c r="L234" i="3"/>
  <c r="M234" i="3" s="1"/>
  <c r="Y233" i="3"/>
  <c r="S233" i="3"/>
  <c r="T233" i="3" s="1"/>
  <c r="L233" i="3"/>
  <c r="M233" i="3" s="1"/>
  <c r="Y232" i="3"/>
  <c r="S232" i="3"/>
  <c r="T232" i="3" s="1"/>
  <c r="L232" i="3"/>
  <c r="M232" i="3" s="1"/>
  <c r="Y231" i="3"/>
  <c r="S231" i="3"/>
  <c r="T231" i="3" s="1"/>
  <c r="L231" i="3"/>
  <c r="M231" i="3" s="1"/>
  <c r="Y230" i="3"/>
  <c r="S230" i="3"/>
  <c r="T230" i="3" s="1"/>
  <c r="L230" i="3"/>
  <c r="M230" i="3" s="1"/>
  <c r="Y229" i="3"/>
  <c r="S229" i="3"/>
  <c r="T229" i="3" s="1"/>
  <c r="L229" i="3"/>
  <c r="M229" i="3" s="1"/>
  <c r="Y228" i="3"/>
  <c r="S228" i="3"/>
  <c r="T228" i="3" s="1"/>
  <c r="L228" i="3"/>
  <c r="M228" i="3" s="1"/>
  <c r="Y227" i="3"/>
  <c r="S227" i="3"/>
  <c r="T227" i="3" s="1"/>
  <c r="L227" i="3"/>
  <c r="M227" i="3" s="1"/>
  <c r="Y226" i="3"/>
  <c r="S226" i="3"/>
  <c r="T226" i="3" s="1"/>
  <c r="L226" i="3"/>
  <c r="M226" i="3" s="1"/>
  <c r="Y225" i="3"/>
  <c r="S225" i="3"/>
  <c r="T225" i="3" s="1"/>
  <c r="L225" i="3"/>
  <c r="M225" i="3" s="1"/>
  <c r="Y224" i="3"/>
  <c r="S224" i="3"/>
  <c r="T224" i="3" s="1"/>
  <c r="L224" i="3"/>
  <c r="M224" i="3" s="1"/>
  <c r="Y223" i="3"/>
  <c r="S223" i="3"/>
  <c r="T223" i="3" s="1"/>
  <c r="L223" i="3"/>
  <c r="M223" i="3" s="1"/>
  <c r="Y222" i="3"/>
  <c r="S222" i="3"/>
  <c r="T222" i="3" s="1"/>
  <c r="L222" i="3"/>
  <c r="M222" i="3" s="1"/>
  <c r="Y221" i="3"/>
  <c r="S221" i="3"/>
  <c r="T221" i="3" s="1"/>
  <c r="L221" i="3"/>
  <c r="M221" i="3" s="1"/>
  <c r="Y220" i="3"/>
  <c r="S220" i="3"/>
  <c r="T220" i="3" s="1"/>
  <c r="L220" i="3"/>
  <c r="M220" i="3" s="1"/>
  <c r="Y219" i="3"/>
  <c r="S219" i="3"/>
  <c r="T219" i="3" s="1"/>
  <c r="L219" i="3"/>
  <c r="M219" i="3" s="1"/>
  <c r="Y218" i="3"/>
  <c r="S218" i="3"/>
  <c r="T218" i="3" s="1"/>
  <c r="L218" i="3"/>
  <c r="M218" i="3" s="1"/>
  <c r="Y217" i="3"/>
  <c r="S217" i="3"/>
  <c r="T217" i="3" s="1"/>
  <c r="L217" i="3"/>
  <c r="M217" i="3" s="1"/>
  <c r="Y216" i="3"/>
  <c r="S216" i="3"/>
  <c r="T216" i="3" s="1"/>
  <c r="L216" i="3"/>
  <c r="M216" i="3" s="1"/>
  <c r="Y215" i="3"/>
  <c r="S215" i="3"/>
  <c r="T215" i="3" s="1"/>
  <c r="L215" i="3"/>
  <c r="M215" i="3" s="1"/>
  <c r="Y214" i="3"/>
  <c r="S214" i="3"/>
  <c r="T214" i="3" s="1"/>
  <c r="L214" i="3"/>
  <c r="M214" i="3" s="1"/>
  <c r="Y213" i="3"/>
  <c r="S213" i="3"/>
  <c r="T213" i="3" s="1"/>
  <c r="L213" i="3"/>
  <c r="M213" i="3" s="1"/>
  <c r="Y212" i="3"/>
  <c r="S212" i="3"/>
  <c r="T212" i="3" s="1"/>
  <c r="L212" i="3"/>
  <c r="M212" i="3" s="1"/>
  <c r="Y211" i="3"/>
  <c r="S211" i="3"/>
  <c r="T211" i="3" s="1"/>
  <c r="L211" i="3"/>
  <c r="M211" i="3" s="1"/>
  <c r="Y210" i="3"/>
  <c r="S210" i="3"/>
  <c r="T210" i="3" s="1"/>
  <c r="L210" i="3"/>
  <c r="M210" i="3" s="1"/>
  <c r="Y209" i="3"/>
  <c r="S209" i="3"/>
  <c r="T209" i="3" s="1"/>
  <c r="L209" i="3"/>
  <c r="M209" i="3" s="1"/>
  <c r="Y208" i="3"/>
  <c r="S208" i="3"/>
  <c r="T208" i="3" s="1"/>
  <c r="L208" i="3"/>
  <c r="M208" i="3" s="1"/>
  <c r="Y207" i="3"/>
  <c r="S207" i="3"/>
  <c r="T207" i="3" s="1"/>
  <c r="L207" i="3"/>
  <c r="M207" i="3" s="1"/>
  <c r="Y206" i="3"/>
  <c r="S206" i="3"/>
  <c r="T206" i="3" s="1"/>
  <c r="L206" i="3"/>
  <c r="M206" i="3" s="1"/>
  <c r="Y205" i="3"/>
  <c r="S205" i="3"/>
  <c r="T205" i="3" s="1"/>
  <c r="L205" i="3"/>
  <c r="M205" i="3" s="1"/>
  <c r="Y204" i="3"/>
  <c r="S204" i="3"/>
  <c r="T204" i="3" s="1"/>
  <c r="L204" i="3"/>
  <c r="M204" i="3" s="1"/>
  <c r="Y203" i="3"/>
  <c r="S203" i="3"/>
  <c r="T203" i="3" s="1"/>
  <c r="L203" i="3"/>
  <c r="M203" i="3" s="1"/>
  <c r="Y202" i="3"/>
  <c r="S202" i="3"/>
  <c r="T202" i="3" s="1"/>
  <c r="L202" i="3"/>
  <c r="M202" i="3" s="1"/>
  <c r="Y201" i="3"/>
  <c r="S201" i="3"/>
  <c r="T201" i="3" s="1"/>
  <c r="L201" i="3"/>
  <c r="M201" i="3" s="1"/>
  <c r="Y200" i="3"/>
  <c r="S200" i="3"/>
  <c r="T200" i="3" s="1"/>
  <c r="L200" i="3"/>
  <c r="M200" i="3" s="1"/>
  <c r="Y199" i="3"/>
  <c r="S199" i="3"/>
  <c r="T199" i="3" s="1"/>
  <c r="L199" i="3"/>
  <c r="M199" i="3" s="1"/>
  <c r="Y198" i="3"/>
  <c r="S198" i="3"/>
  <c r="T198" i="3" s="1"/>
  <c r="L198" i="3"/>
  <c r="M198" i="3" s="1"/>
  <c r="Y197" i="3"/>
  <c r="S197" i="3"/>
  <c r="T197" i="3" s="1"/>
  <c r="L197" i="3"/>
  <c r="M197" i="3" s="1"/>
  <c r="Y196" i="3"/>
  <c r="S196" i="3"/>
  <c r="T196" i="3" s="1"/>
  <c r="L196" i="3"/>
  <c r="M196" i="3" s="1"/>
  <c r="Y195" i="3"/>
  <c r="S195" i="3"/>
  <c r="T195" i="3" s="1"/>
  <c r="L195" i="3"/>
  <c r="M195" i="3" s="1"/>
  <c r="Y194" i="3"/>
  <c r="S194" i="3"/>
  <c r="T194" i="3" s="1"/>
  <c r="L194" i="3"/>
  <c r="M194" i="3" s="1"/>
  <c r="Y193" i="3"/>
  <c r="S193" i="3"/>
  <c r="T193" i="3" s="1"/>
  <c r="L193" i="3"/>
  <c r="M193" i="3" s="1"/>
  <c r="Y192" i="3"/>
  <c r="S192" i="3"/>
  <c r="T192" i="3" s="1"/>
  <c r="L192" i="3"/>
  <c r="M192" i="3" s="1"/>
  <c r="Y191" i="3"/>
  <c r="S191" i="3"/>
  <c r="T191" i="3" s="1"/>
  <c r="L191" i="3"/>
  <c r="M191" i="3" s="1"/>
  <c r="Y190" i="3"/>
  <c r="S190" i="3"/>
  <c r="T190" i="3" s="1"/>
  <c r="L190" i="3"/>
  <c r="M190" i="3" s="1"/>
  <c r="Y189" i="3"/>
  <c r="S189" i="3"/>
  <c r="T189" i="3" s="1"/>
  <c r="L189" i="3"/>
  <c r="M189" i="3" s="1"/>
  <c r="Y188" i="3"/>
  <c r="S188" i="3"/>
  <c r="T188" i="3" s="1"/>
  <c r="L188" i="3"/>
  <c r="M188" i="3" s="1"/>
  <c r="Y187" i="3"/>
  <c r="S187" i="3"/>
  <c r="T187" i="3" s="1"/>
  <c r="L187" i="3"/>
  <c r="M187" i="3" s="1"/>
  <c r="Y186" i="3"/>
  <c r="S186" i="3"/>
  <c r="T186" i="3" s="1"/>
  <c r="L186" i="3"/>
  <c r="M186" i="3" s="1"/>
  <c r="Y185" i="3"/>
  <c r="S185" i="3"/>
  <c r="T185" i="3" s="1"/>
  <c r="L185" i="3"/>
  <c r="M185" i="3" s="1"/>
  <c r="Y184" i="3"/>
  <c r="S184" i="3"/>
  <c r="T184" i="3" s="1"/>
  <c r="L184" i="3"/>
  <c r="M184" i="3" s="1"/>
  <c r="Y183" i="3"/>
  <c r="S183" i="3"/>
  <c r="T183" i="3" s="1"/>
  <c r="L183" i="3"/>
  <c r="M183" i="3" s="1"/>
  <c r="Y182" i="3"/>
  <c r="S182" i="3"/>
  <c r="T182" i="3" s="1"/>
  <c r="L182" i="3"/>
  <c r="M182" i="3" s="1"/>
  <c r="Y181" i="3"/>
  <c r="S181" i="3"/>
  <c r="T181" i="3" s="1"/>
  <c r="L181" i="3"/>
  <c r="M181" i="3" s="1"/>
  <c r="Y180" i="3"/>
  <c r="S180" i="3"/>
  <c r="T180" i="3" s="1"/>
  <c r="L180" i="3"/>
  <c r="M180" i="3" s="1"/>
  <c r="Y179" i="3"/>
  <c r="S179" i="3"/>
  <c r="T179" i="3" s="1"/>
  <c r="L179" i="3"/>
  <c r="M179" i="3" s="1"/>
  <c r="Y178" i="3"/>
  <c r="S178" i="3"/>
  <c r="T178" i="3" s="1"/>
  <c r="L178" i="3"/>
  <c r="M178" i="3" s="1"/>
  <c r="Y177" i="3"/>
  <c r="S177" i="3"/>
  <c r="T177" i="3" s="1"/>
  <c r="L177" i="3"/>
  <c r="M177" i="3" s="1"/>
  <c r="Y176" i="3"/>
  <c r="S176" i="3"/>
  <c r="T176" i="3" s="1"/>
  <c r="L176" i="3"/>
  <c r="M176" i="3" s="1"/>
  <c r="Y175" i="3"/>
  <c r="S175" i="3"/>
  <c r="T175" i="3" s="1"/>
  <c r="L175" i="3"/>
  <c r="M175" i="3" s="1"/>
  <c r="Y174" i="3"/>
  <c r="S174" i="3"/>
  <c r="T174" i="3" s="1"/>
  <c r="L174" i="3"/>
  <c r="M174" i="3" s="1"/>
  <c r="Y173" i="3"/>
  <c r="S173" i="3"/>
  <c r="T173" i="3" s="1"/>
  <c r="L173" i="3"/>
  <c r="M173" i="3" s="1"/>
  <c r="Y172" i="3"/>
  <c r="S172" i="3"/>
  <c r="T172" i="3" s="1"/>
  <c r="L172" i="3"/>
  <c r="M172" i="3" s="1"/>
  <c r="Y171" i="3"/>
  <c r="S171" i="3"/>
  <c r="T171" i="3" s="1"/>
  <c r="L171" i="3"/>
  <c r="M171" i="3" s="1"/>
  <c r="Y170" i="3"/>
  <c r="S170" i="3"/>
  <c r="T170" i="3" s="1"/>
  <c r="L170" i="3"/>
  <c r="M170" i="3" s="1"/>
  <c r="Y169" i="3"/>
  <c r="S169" i="3"/>
  <c r="T169" i="3" s="1"/>
  <c r="L169" i="3"/>
  <c r="M169" i="3" s="1"/>
  <c r="Y168" i="3"/>
  <c r="S168" i="3"/>
  <c r="T168" i="3" s="1"/>
  <c r="L168" i="3"/>
  <c r="M168" i="3" s="1"/>
  <c r="Y167" i="3"/>
  <c r="S167" i="3"/>
  <c r="T167" i="3" s="1"/>
  <c r="L167" i="3"/>
  <c r="M167" i="3" s="1"/>
  <c r="Y166" i="3"/>
  <c r="S166" i="3"/>
  <c r="T166" i="3" s="1"/>
  <c r="L166" i="3"/>
  <c r="M166" i="3" s="1"/>
  <c r="Y165" i="3"/>
  <c r="S165" i="3"/>
  <c r="T165" i="3" s="1"/>
  <c r="L165" i="3"/>
  <c r="M165" i="3" s="1"/>
  <c r="Y164" i="3"/>
  <c r="S164" i="3"/>
  <c r="T164" i="3" s="1"/>
  <c r="L164" i="3"/>
  <c r="M164" i="3" s="1"/>
  <c r="Y163" i="3"/>
  <c r="S163" i="3"/>
  <c r="T163" i="3" s="1"/>
  <c r="L163" i="3"/>
  <c r="M163" i="3" s="1"/>
  <c r="Y162" i="3"/>
  <c r="S162" i="3"/>
  <c r="T162" i="3" s="1"/>
  <c r="L162" i="3"/>
  <c r="M162" i="3" s="1"/>
  <c r="Y161" i="3"/>
  <c r="S161" i="3"/>
  <c r="T161" i="3" s="1"/>
  <c r="L161" i="3"/>
  <c r="M161" i="3" s="1"/>
  <c r="Y160" i="3"/>
  <c r="S160" i="3"/>
  <c r="T160" i="3" s="1"/>
  <c r="L160" i="3"/>
  <c r="M160" i="3" s="1"/>
  <c r="Y159" i="3"/>
  <c r="S159" i="3"/>
  <c r="T159" i="3" s="1"/>
  <c r="L159" i="3"/>
  <c r="M159" i="3" s="1"/>
  <c r="Y158" i="3"/>
  <c r="S158" i="3"/>
  <c r="T158" i="3" s="1"/>
  <c r="L158" i="3"/>
  <c r="M158" i="3" s="1"/>
  <c r="Y157" i="3"/>
  <c r="S157" i="3"/>
  <c r="T157" i="3" s="1"/>
  <c r="L157" i="3"/>
  <c r="M157" i="3" s="1"/>
  <c r="Y156" i="3"/>
  <c r="S156" i="3"/>
  <c r="T156" i="3" s="1"/>
  <c r="L156" i="3"/>
  <c r="M156" i="3" s="1"/>
  <c r="Y155" i="3"/>
  <c r="S155" i="3"/>
  <c r="T155" i="3" s="1"/>
  <c r="L155" i="3"/>
  <c r="M155" i="3" s="1"/>
  <c r="Y154" i="3"/>
  <c r="S154" i="3"/>
  <c r="T154" i="3" s="1"/>
  <c r="L154" i="3"/>
  <c r="M154" i="3" s="1"/>
  <c r="Y153" i="3"/>
  <c r="S153" i="3"/>
  <c r="T153" i="3" s="1"/>
  <c r="L153" i="3"/>
  <c r="M153" i="3" s="1"/>
  <c r="Y152" i="3"/>
  <c r="S152" i="3"/>
  <c r="T152" i="3" s="1"/>
  <c r="L152" i="3"/>
  <c r="M152" i="3" s="1"/>
  <c r="Y151" i="3"/>
  <c r="S151" i="3"/>
  <c r="T151" i="3" s="1"/>
  <c r="L151" i="3"/>
  <c r="M151" i="3" s="1"/>
  <c r="Y150" i="3"/>
  <c r="S150" i="3"/>
  <c r="T150" i="3" s="1"/>
  <c r="L150" i="3"/>
  <c r="M150" i="3" s="1"/>
  <c r="Y149" i="3"/>
  <c r="S149" i="3"/>
  <c r="T149" i="3" s="1"/>
  <c r="L149" i="3"/>
  <c r="M149" i="3" s="1"/>
  <c r="Y148" i="3"/>
  <c r="S148" i="3"/>
  <c r="T148" i="3" s="1"/>
  <c r="L148" i="3"/>
  <c r="M148" i="3" s="1"/>
  <c r="Y147" i="3"/>
  <c r="S147" i="3"/>
  <c r="T147" i="3" s="1"/>
  <c r="L147" i="3"/>
  <c r="M147" i="3" s="1"/>
  <c r="Y146" i="3"/>
  <c r="S146" i="3"/>
  <c r="T146" i="3" s="1"/>
  <c r="L146" i="3"/>
  <c r="M146" i="3" s="1"/>
  <c r="Y145" i="3"/>
  <c r="S145" i="3"/>
  <c r="T145" i="3" s="1"/>
  <c r="L145" i="3"/>
  <c r="M145" i="3" s="1"/>
  <c r="Y144" i="3"/>
  <c r="S144" i="3"/>
  <c r="T144" i="3" s="1"/>
  <c r="L144" i="3"/>
  <c r="M144" i="3" s="1"/>
  <c r="Y143" i="3"/>
  <c r="S143" i="3"/>
  <c r="T143" i="3" s="1"/>
  <c r="L143" i="3"/>
  <c r="M143" i="3" s="1"/>
  <c r="Y142" i="3"/>
  <c r="S142" i="3"/>
  <c r="T142" i="3" s="1"/>
  <c r="L142" i="3"/>
  <c r="M142" i="3" s="1"/>
  <c r="Y141" i="3"/>
  <c r="S141" i="3"/>
  <c r="T141" i="3" s="1"/>
  <c r="L141" i="3"/>
  <c r="M141" i="3" s="1"/>
  <c r="Y140" i="3"/>
  <c r="S140" i="3"/>
  <c r="T140" i="3" s="1"/>
  <c r="L140" i="3"/>
  <c r="M140" i="3" s="1"/>
  <c r="Y139" i="3"/>
  <c r="S139" i="3"/>
  <c r="T139" i="3" s="1"/>
  <c r="L139" i="3"/>
  <c r="M139" i="3" s="1"/>
  <c r="Y138" i="3"/>
  <c r="S138" i="3"/>
  <c r="T138" i="3" s="1"/>
  <c r="L138" i="3"/>
  <c r="M138" i="3" s="1"/>
  <c r="Y137" i="3"/>
  <c r="S137" i="3"/>
  <c r="T137" i="3" s="1"/>
  <c r="L137" i="3"/>
  <c r="M137" i="3" s="1"/>
  <c r="Y136" i="3"/>
  <c r="S136" i="3"/>
  <c r="T136" i="3" s="1"/>
  <c r="L136" i="3"/>
  <c r="M136" i="3" s="1"/>
  <c r="Y135" i="3"/>
  <c r="S135" i="3"/>
  <c r="T135" i="3" s="1"/>
  <c r="L135" i="3"/>
  <c r="M135" i="3" s="1"/>
  <c r="Y134" i="3"/>
  <c r="S134" i="3"/>
  <c r="T134" i="3" s="1"/>
  <c r="L134" i="3"/>
  <c r="M134" i="3" s="1"/>
  <c r="Y133" i="3"/>
  <c r="S133" i="3"/>
  <c r="T133" i="3" s="1"/>
  <c r="L133" i="3"/>
  <c r="M133" i="3" s="1"/>
  <c r="Y132" i="3"/>
  <c r="S132" i="3"/>
  <c r="T132" i="3" s="1"/>
  <c r="L132" i="3"/>
  <c r="M132" i="3" s="1"/>
  <c r="Y131" i="3"/>
  <c r="S131" i="3"/>
  <c r="T131" i="3" s="1"/>
  <c r="L131" i="3"/>
  <c r="M131" i="3" s="1"/>
  <c r="Y130" i="3"/>
  <c r="S130" i="3"/>
  <c r="T130" i="3" s="1"/>
  <c r="L130" i="3"/>
  <c r="M130" i="3" s="1"/>
  <c r="Y129" i="3"/>
  <c r="S129" i="3"/>
  <c r="T129" i="3" s="1"/>
  <c r="L129" i="3"/>
  <c r="M129" i="3" s="1"/>
  <c r="Y128" i="3"/>
  <c r="S128" i="3"/>
  <c r="T128" i="3" s="1"/>
  <c r="L128" i="3"/>
  <c r="M128" i="3" s="1"/>
  <c r="Y127" i="3"/>
  <c r="S127" i="3"/>
  <c r="T127" i="3" s="1"/>
  <c r="L127" i="3"/>
  <c r="M127" i="3" s="1"/>
  <c r="Y126" i="3"/>
  <c r="S126" i="3"/>
  <c r="T126" i="3" s="1"/>
  <c r="L126" i="3"/>
  <c r="M126" i="3" s="1"/>
  <c r="Y125" i="3"/>
  <c r="S125" i="3"/>
  <c r="T125" i="3" s="1"/>
  <c r="L125" i="3"/>
  <c r="M125" i="3" s="1"/>
  <c r="Y124" i="3"/>
  <c r="S124" i="3"/>
  <c r="T124" i="3" s="1"/>
  <c r="L124" i="3"/>
  <c r="M124" i="3" s="1"/>
  <c r="Y123" i="3"/>
  <c r="S123" i="3"/>
  <c r="T123" i="3" s="1"/>
  <c r="L123" i="3"/>
  <c r="M123" i="3" s="1"/>
  <c r="Y122" i="3"/>
  <c r="S122" i="3"/>
  <c r="T122" i="3" s="1"/>
  <c r="L122" i="3"/>
  <c r="M122" i="3" s="1"/>
  <c r="Y121" i="3"/>
  <c r="S121" i="3"/>
  <c r="T121" i="3" s="1"/>
  <c r="L121" i="3"/>
  <c r="M121" i="3" s="1"/>
  <c r="Y120" i="3"/>
  <c r="S120" i="3"/>
  <c r="T120" i="3" s="1"/>
  <c r="L120" i="3"/>
  <c r="M120" i="3" s="1"/>
  <c r="Y119" i="3"/>
  <c r="S119" i="3"/>
  <c r="T119" i="3" s="1"/>
  <c r="L119" i="3"/>
  <c r="M119" i="3" s="1"/>
  <c r="Y118" i="3"/>
  <c r="S118" i="3"/>
  <c r="T118" i="3" s="1"/>
  <c r="L118" i="3"/>
  <c r="M118" i="3" s="1"/>
  <c r="Y117" i="3"/>
  <c r="S117" i="3"/>
  <c r="T117" i="3" s="1"/>
  <c r="L117" i="3"/>
  <c r="M117" i="3" s="1"/>
  <c r="Y116" i="3"/>
  <c r="S116" i="3"/>
  <c r="T116" i="3" s="1"/>
  <c r="L116" i="3"/>
  <c r="M116" i="3" s="1"/>
  <c r="Y115" i="3"/>
  <c r="S115" i="3"/>
  <c r="T115" i="3" s="1"/>
  <c r="L115" i="3"/>
  <c r="M115" i="3" s="1"/>
  <c r="Y114" i="3"/>
  <c r="S114" i="3"/>
  <c r="T114" i="3" s="1"/>
  <c r="L114" i="3"/>
  <c r="M114" i="3" s="1"/>
  <c r="Y113" i="3"/>
  <c r="S113" i="3"/>
  <c r="T113" i="3" s="1"/>
  <c r="L113" i="3"/>
  <c r="M113" i="3" s="1"/>
  <c r="Y112" i="3"/>
  <c r="S112" i="3"/>
  <c r="T112" i="3" s="1"/>
  <c r="L112" i="3"/>
  <c r="M112" i="3" s="1"/>
  <c r="Y111" i="3"/>
  <c r="S111" i="3"/>
  <c r="T111" i="3" s="1"/>
  <c r="L111" i="3"/>
  <c r="M111" i="3" s="1"/>
  <c r="Y110" i="3"/>
  <c r="S110" i="3"/>
  <c r="T110" i="3" s="1"/>
  <c r="L110" i="3"/>
  <c r="M110" i="3" s="1"/>
  <c r="Y109" i="3"/>
  <c r="S109" i="3"/>
  <c r="T109" i="3" s="1"/>
  <c r="L109" i="3"/>
  <c r="M109" i="3" s="1"/>
  <c r="Y108" i="3"/>
  <c r="S108" i="3"/>
  <c r="T108" i="3" s="1"/>
  <c r="L108" i="3"/>
  <c r="M108" i="3" s="1"/>
  <c r="Y107" i="3"/>
  <c r="S107" i="3"/>
  <c r="T107" i="3" s="1"/>
  <c r="L107" i="3"/>
  <c r="M107" i="3" s="1"/>
  <c r="Y106" i="3"/>
  <c r="S106" i="3"/>
  <c r="T106" i="3" s="1"/>
  <c r="L106" i="3"/>
  <c r="M106" i="3" s="1"/>
  <c r="Y105" i="3"/>
  <c r="S105" i="3"/>
  <c r="T105" i="3" s="1"/>
  <c r="L105" i="3"/>
  <c r="M105" i="3" s="1"/>
  <c r="Y104" i="3"/>
  <c r="S104" i="3"/>
  <c r="T104" i="3" s="1"/>
  <c r="L104" i="3"/>
  <c r="M104" i="3" s="1"/>
  <c r="Y103" i="3"/>
  <c r="S103" i="3"/>
  <c r="T103" i="3" s="1"/>
  <c r="L103" i="3"/>
  <c r="M103" i="3" s="1"/>
  <c r="Y102" i="3"/>
  <c r="S102" i="3"/>
  <c r="T102" i="3" s="1"/>
  <c r="L102" i="3"/>
  <c r="M102" i="3" s="1"/>
  <c r="Y101" i="3"/>
  <c r="S101" i="3"/>
  <c r="T101" i="3" s="1"/>
  <c r="L101" i="3"/>
  <c r="M101" i="3" s="1"/>
  <c r="Y100" i="3"/>
  <c r="S100" i="3"/>
  <c r="T100" i="3" s="1"/>
  <c r="L100" i="3"/>
  <c r="M100" i="3" s="1"/>
  <c r="Y99" i="3"/>
  <c r="S99" i="3"/>
  <c r="T99" i="3" s="1"/>
  <c r="L99" i="3"/>
  <c r="M99" i="3" s="1"/>
  <c r="Y98" i="3"/>
  <c r="S98" i="3"/>
  <c r="T98" i="3" s="1"/>
  <c r="L98" i="3"/>
  <c r="M98" i="3" s="1"/>
  <c r="Y97" i="3"/>
  <c r="S97" i="3"/>
  <c r="T97" i="3" s="1"/>
  <c r="L97" i="3"/>
  <c r="M97" i="3" s="1"/>
  <c r="Y96" i="3"/>
  <c r="S96" i="3"/>
  <c r="T96" i="3" s="1"/>
  <c r="L96" i="3"/>
  <c r="M96" i="3" s="1"/>
  <c r="Y95" i="3"/>
  <c r="S95" i="3"/>
  <c r="T95" i="3" s="1"/>
  <c r="L95" i="3"/>
  <c r="M95" i="3" s="1"/>
  <c r="Y94" i="3"/>
  <c r="S94" i="3"/>
  <c r="T94" i="3" s="1"/>
  <c r="L94" i="3"/>
  <c r="M94" i="3" s="1"/>
  <c r="Y93" i="3"/>
  <c r="S93" i="3"/>
  <c r="T93" i="3" s="1"/>
  <c r="L93" i="3"/>
  <c r="M93" i="3" s="1"/>
  <c r="Y92" i="3"/>
  <c r="S92" i="3"/>
  <c r="T92" i="3" s="1"/>
  <c r="L92" i="3"/>
  <c r="M92" i="3" s="1"/>
  <c r="Y91" i="3"/>
  <c r="S91" i="3"/>
  <c r="T91" i="3" s="1"/>
  <c r="L91" i="3"/>
  <c r="M91" i="3" s="1"/>
  <c r="Y90" i="3"/>
  <c r="S90" i="3"/>
  <c r="T90" i="3" s="1"/>
  <c r="L90" i="3"/>
  <c r="M90" i="3" s="1"/>
  <c r="Y89" i="3"/>
  <c r="S89" i="3"/>
  <c r="T89" i="3" s="1"/>
  <c r="L89" i="3"/>
  <c r="M89" i="3" s="1"/>
  <c r="Y88" i="3"/>
  <c r="S88" i="3"/>
  <c r="T88" i="3" s="1"/>
  <c r="L88" i="3"/>
  <c r="M88" i="3" s="1"/>
  <c r="Y87" i="3"/>
  <c r="S87" i="3"/>
  <c r="T87" i="3" s="1"/>
  <c r="L87" i="3"/>
  <c r="M87" i="3" s="1"/>
  <c r="Y86" i="3"/>
  <c r="S86" i="3"/>
  <c r="T86" i="3" s="1"/>
  <c r="L86" i="3"/>
  <c r="M86" i="3" s="1"/>
  <c r="Y85" i="3"/>
  <c r="S85" i="3"/>
  <c r="T85" i="3" s="1"/>
  <c r="L85" i="3"/>
  <c r="M85" i="3" s="1"/>
  <c r="Y84" i="3"/>
  <c r="S84" i="3"/>
  <c r="T84" i="3" s="1"/>
  <c r="L84" i="3"/>
  <c r="M84" i="3" s="1"/>
  <c r="Y83" i="3"/>
  <c r="S83" i="3"/>
  <c r="T83" i="3" s="1"/>
  <c r="L83" i="3"/>
  <c r="M83" i="3" s="1"/>
  <c r="Y82" i="3"/>
  <c r="S82" i="3"/>
  <c r="T82" i="3" s="1"/>
  <c r="L82" i="3"/>
  <c r="M82" i="3" s="1"/>
  <c r="Y81" i="3"/>
  <c r="S81" i="3"/>
  <c r="T81" i="3" s="1"/>
  <c r="L81" i="3"/>
  <c r="M81" i="3" s="1"/>
  <c r="Y80" i="3"/>
  <c r="S80" i="3"/>
  <c r="T80" i="3" s="1"/>
  <c r="L80" i="3"/>
  <c r="M80" i="3" s="1"/>
  <c r="Y79" i="3"/>
  <c r="S79" i="3"/>
  <c r="T79" i="3" s="1"/>
  <c r="L79" i="3"/>
  <c r="M79" i="3" s="1"/>
  <c r="Y78" i="3"/>
  <c r="S78" i="3"/>
  <c r="T78" i="3" s="1"/>
  <c r="L78" i="3"/>
  <c r="M78" i="3" s="1"/>
  <c r="Y77" i="3"/>
  <c r="S77" i="3"/>
  <c r="T77" i="3" s="1"/>
  <c r="L77" i="3"/>
  <c r="M77" i="3" s="1"/>
  <c r="Y76" i="3"/>
  <c r="S76" i="3"/>
  <c r="T76" i="3" s="1"/>
  <c r="L76" i="3"/>
  <c r="M76" i="3" s="1"/>
  <c r="Y75" i="3"/>
  <c r="S75" i="3"/>
  <c r="T75" i="3" s="1"/>
  <c r="L75" i="3"/>
  <c r="M75" i="3" s="1"/>
  <c r="Y74" i="3"/>
  <c r="S74" i="3"/>
  <c r="T74" i="3" s="1"/>
  <c r="L74" i="3"/>
  <c r="M74" i="3" s="1"/>
  <c r="Y73" i="3"/>
  <c r="S73" i="3"/>
  <c r="T73" i="3" s="1"/>
  <c r="L73" i="3"/>
  <c r="M73" i="3" s="1"/>
  <c r="Y72" i="3"/>
  <c r="S72" i="3"/>
  <c r="T72" i="3" s="1"/>
  <c r="L72" i="3"/>
  <c r="M72" i="3" s="1"/>
  <c r="Y71" i="3"/>
  <c r="S71" i="3"/>
  <c r="T71" i="3" s="1"/>
  <c r="L71" i="3"/>
  <c r="M71" i="3" s="1"/>
  <c r="Y70" i="3"/>
  <c r="S70" i="3"/>
  <c r="T70" i="3" s="1"/>
  <c r="L70" i="3"/>
  <c r="M70" i="3" s="1"/>
  <c r="Y69" i="3"/>
  <c r="S69" i="3"/>
  <c r="T69" i="3" s="1"/>
  <c r="L69" i="3"/>
  <c r="M69" i="3" s="1"/>
  <c r="Y68" i="3"/>
  <c r="S68" i="3"/>
  <c r="T68" i="3" s="1"/>
  <c r="L68" i="3"/>
  <c r="M68" i="3" s="1"/>
  <c r="Y67" i="3"/>
  <c r="S67" i="3"/>
  <c r="T67" i="3" s="1"/>
  <c r="L67" i="3"/>
  <c r="M67" i="3" s="1"/>
  <c r="Y66" i="3"/>
  <c r="S66" i="3"/>
  <c r="T66" i="3" s="1"/>
  <c r="L66" i="3"/>
  <c r="M66" i="3" s="1"/>
  <c r="Y65" i="3"/>
  <c r="S65" i="3"/>
  <c r="T65" i="3" s="1"/>
  <c r="L65" i="3"/>
  <c r="M65" i="3" s="1"/>
  <c r="Y64" i="3"/>
  <c r="S64" i="3"/>
  <c r="T64" i="3" s="1"/>
  <c r="L64" i="3"/>
  <c r="M64" i="3" s="1"/>
  <c r="Y63" i="3"/>
  <c r="S63" i="3"/>
  <c r="T63" i="3" s="1"/>
  <c r="L63" i="3"/>
  <c r="M63" i="3" s="1"/>
  <c r="Y62" i="3"/>
  <c r="S62" i="3"/>
  <c r="T62" i="3" s="1"/>
  <c r="L62" i="3"/>
  <c r="M62" i="3" s="1"/>
  <c r="Y61" i="3"/>
  <c r="S61" i="3"/>
  <c r="T61" i="3" s="1"/>
  <c r="L61" i="3"/>
  <c r="M61" i="3" s="1"/>
  <c r="Y60" i="3"/>
  <c r="S60" i="3"/>
  <c r="T60" i="3" s="1"/>
  <c r="L60" i="3"/>
  <c r="M60" i="3" s="1"/>
  <c r="Y59" i="3"/>
  <c r="S59" i="3"/>
  <c r="T59" i="3" s="1"/>
  <c r="L59" i="3"/>
  <c r="M59" i="3" s="1"/>
  <c r="Y58" i="3"/>
  <c r="S58" i="3"/>
  <c r="T58" i="3" s="1"/>
  <c r="L58" i="3"/>
  <c r="M58" i="3" s="1"/>
  <c r="Y57" i="3"/>
  <c r="S57" i="3"/>
  <c r="T57" i="3" s="1"/>
  <c r="L57" i="3"/>
  <c r="M57" i="3" s="1"/>
  <c r="Y56" i="3"/>
  <c r="S56" i="3"/>
  <c r="T56" i="3" s="1"/>
  <c r="L56" i="3"/>
  <c r="M56" i="3" s="1"/>
  <c r="Y55" i="3"/>
  <c r="S55" i="3"/>
  <c r="T55" i="3" s="1"/>
  <c r="L55" i="3"/>
  <c r="M55" i="3" s="1"/>
  <c r="Y54" i="3"/>
  <c r="S54" i="3"/>
  <c r="T54" i="3" s="1"/>
  <c r="L54" i="3"/>
  <c r="M54" i="3" s="1"/>
  <c r="Y53" i="3"/>
  <c r="S53" i="3"/>
  <c r="T53" i="3" s="1"/>
  <c r="L53" i="3"/>
  <c r="M53" i="3" s="1"/>
  <c r="Y52" i="3"/>
  <c r="S52" i="3"/>
  <c r="T52" i="3" s="1"/>
  <c r="L52" i="3"/>
  <c r="M52" i="3" s="1"/>
  <c r="Y51" i="3"/>
  <c r="S51" i="3"/>
  <c r="T51" i="3" s="1"/>
  <c r="L51" i="3"/>
  <c r="M51" i="3" s="1"/>
  <c r="Y50" i="3"/>
  <c r="S50" i="3"/>
  <c r="T50" i="3" s="1"/>
  <c r="L50" i="3"/>
  <c r="M50" i="3" s="1"/>
  <c r="Y49" i="3"/>
  <c r="S49" i="3"/>
  <c r="T49" i="3" s="1"/>
  <c r="L49" i="3"/>
  <c r="M49" i="3" s="1"/>
  <c r="Y48" i="3"/>
  <c r="S48" i="3"/>
  <c r="T48" i="3" s="1"/>
  <c r="L48" i="3"/>
  <c r="M48" i="3" s="1"/>
  <c r="Y47" i="3"/>
  <c r="S47" i="3"/>
  <c r="T47" i="3" s="1"/>
  <c r="L47" i="3"/>
  <c r="M47" i="3" s="1"/>
  <c r="Y46" i="3"/>
  <c r="S46" i="3"/>
  <c r="T46" i="3" s="1"/>
  <c r="L46" i="3"/>
  <c r="M46" i="3" s="1"/>
  <c r="Y45" i="3"/>
  <c r="S45" i="3"/>
  <c r="T45" i="3" s="1"/>
  <c r="L45" i="3"/>
  <c r="M45" i="3" s="1"/>
  <c r="Y44" i="3"/>
  <c r="S44" i="3"/>
  <c r="T44" i="3" s="1"/>
  <c r="L44" i="3"/>
  <c r="M44" i="3" s="1"/>
  <c r="Y43" i="3"/>
  <c r="S43" i="3"/>
  <c r="T43" i="3" s="1"/>
  <c r="L43" i="3"/>
  <c r="M43" i="3" s="1"/>
  <c r="Y42" i="3"/>
  <c r="S42" i="3"/>
  <c r="T42" i="3" s="1"/>
  <c r="L42" i="3"/>
  <c r="M42" i="3" s="1"/>
  <c r="Y41" i="3"/>
  <c r="S41" i="3"/>
  <c r="T41" i="3" s="1"/>
  <c r="L41" i="3"/>
  <c r="M41" i="3" s="1"/>
  <c r="Y40" i="3"/>
  <c r="S40" i="3"/>
  <c r="T40" i="3" s="1"/>
  <c r="L40" i="3"/>
  <c r="M40" i="3" s="1"/>
  <c r="Y39" i="3"/>
  <c r="S39" i="3"/>
  <c r="T39" i="3" s="1"/>
  <c r="L39" i="3"/>
  <c r="M39" i="3" s="1"/>
  <c r="Y38" i="3"/>
  <c r="S38" i="3"/>
  <c r="T38" i="3" s="1"/>
  <c r="L38" i="3"/>
  <c r="M38" i="3" s="1"/>
  <c r="Y37" i="3"/>
  <c r="S37" i="3"/>
  <c r="T37" i="3" s="1"/>
  <c r="L37" i="3"/>
  <c r="M37" i="3" s="1"/>
  <c r="Y36" i="3"/>
  <c r="S36" i="3"/>
  <c r="T36" i="3" s="1"/>
  <c r="L36" i="3"/>
  <c r="M36" i="3" s="1"/>
  <c r="Y35" i="3"/>
  <c r="S35" i="3"/>
  <c r="T35" i="3" s="1"/>
  <c r="L35" i="3"/>
  <c r="M35" i="3" s="1"/>
  <c r="Y34" i="3"/>
  <c r="S34" i="3"/>
  <c r="T34" i="3" s="1"/>
  <c r="L34" i="3"/>
  <c r="M34" i="3" s="1"/>
  <c r="Y33" i="3"/>
  <c r="S33" i="3"/>
  <c r="T33" i="3" s="1"/>
  <c r="L33" i="3"/>
  <c r="M33" i="3" s="1"/>
  <c r="Y32" i="3"/>
  <c r="S32" i="3"/>
  <c r="T32" i="3" s="1"/>
  <c r="L32" i="3"/>
  <c r="M32" i="3" s="1"/>
  <c r="Y31" i="3"/>
  <c r="S31" i="3"/>
  <c r="T31" i="3" s="1"/>
  <c r="L31" i="3"/>
  <c r="M31" i="3" s="1"/>
  <c r="Y30" i="3"/>
  <c r="S30" i="3"/>
  <c r="T30" i="3" s="1"/>
  <c r="L30" i="3"/>
  <c r="M30" i="3" s="1"/>
  <c r="Y29" i="3"/>
  <c r="S29" i="3"/>
  <c r="T29" i="3" s="1"/>
  <c r="L29" i="3"/>
  <c r="M29" i="3" s="1"/>
  <c r="Y28" i="3"/>
  <c r="S28" i="3"/>
  <c r="T28" i="3" s="1"/>
  <c r="L28" i="3"/>
  <c r="M28" i="3" s="1"/>
  <c r="Y27" i="3"/>
  <c r="S27" i="3"/>
  <c r="T27" i="3" s="1"/>
  <c r="L27" i="3"/>
  <c r="M27" i="3" s="1"/>
  <c r="Y26" i="3"/>
  <c r="S26" i="3"/>
  <c r="T26" i="3" s="1"/>
  <c r="L26" i="3"/>
  <c r="M26" i="3" s="1"/>
  <c r="Y25" i="3"/>
  <c r="S25" i="3"/>
  <c r="T25" i="3" s="1"/>
  <c r="L25" i="3"/>
  <c r="M25" i="3" s="1"/>
  <c r="Y24" i="3"/>
  <c r="S24" i="3"/>
  <c r="T24" i="3" s="1"/>
  <c r="L24" i="3"/>
  <c r="M24" i="3" s="1"/>
  <c r="Y23" i="3"/>
  <c r="S23" i="3"/>
  <c r="T23" i="3" s="1"/>
  <c r="L23" i="3"/>
  <c r="M23" i="3" s="1"/>
  <c r="Y22" i="3"/>
  <c r="S22" i="3"/>
  <c r="T22" i="3" s="1"/>
  <c r="L22" i="3"/>
  <c r="M22" i="3" s="1"/>
  <c r="Y21" i="3"/>
  <c r="S21" i="3"/>
  <c r="T21" i="3" s="1"/>
  <c r="L21" i="3"/>
  <c r="M21" i="3" s="1"/>
  <c r="Y20" i="3"/>
  <c r="S20" i="3"/>
  <c r="T20" i="3" s="1"/>
  <c r="L20" i="3"/>
  <c r="M20" i="3" s="1"/>
  <c r="Y19" i="3"/>
  <c r="S19" i="3"/>
  <c r="T19" i="3" s="1"/>
  <c r="L19" i="3"/>
  <c r="M19" i="3" s="1"/>
  <c r="Y18" i="3"/>
  <c r="S18" i="3"/>
  <c r="T18" i="3" s="1"/>
  <c r="L18" i="3"/>
  <c r="M18" i="3" s="1"/>
  <c r="Y17" i="3"/>
  <c r="S17" i="3"/>
  <c r="T17" i="3" s="1"/>
  <c r="L17" i="3"/>
  <c r="M17" i="3" s="1"/>
  <c r="Y16" i="3"/>
  <c r="S16" i="3"/>
  <c r="T16" i="3" s="1"/>
  <c r="L16" i="3"/>
  <c r="M16" i="3" s="1"/>
  <c r="Y15" i="3"/>
  <c r="S15" i="3"/>
  <c r="T15" i="3" s="1"/>
  <c r="L15" i="3"/>
  <c r="M15" i="3" s="1"/>
  <c r="Y14" i="3"/>
  <c r="S14" i="3"/>
  <c r="T14" i="3" s="1"/>
  <c r="L14" i="3"/>
  <c r="M14" i="3" s="1"/>
  <c r="Y13" i="3"/>
  <c r="S13" i="3"/>
  <c r="T13" i="3" s="1"/>
  <c r="L13" i="3"/>
  <c r="M13" i="3" s="1"/>
  <c r="Y12" i="3"/>
  <c r="S12" i="3"/>
  <c r="T12" i="3" s="1"/>
  <c r="L12" i="3"/>
  <c r="M12" i="3" s="1"/>
  <c r="Y11" i="3"/>
  <c r="S11" i="3"/>
  <c r="T11" i="3" s="1"/>
  <c r="L11" i="3"/>
  <c r="M11" i="3" s="1"/>
  <c r="Y10" i="3"/>
  <c r="S10" i="3"/>
  <c r="T10" i="3" s="1"/>
  <c r="L10" i="3"/>
  <c r="M10" i="3" s="1"/>
  <c r="Y9" i="3"/>
  <c r="S9" i="3"/>
  <c r="T9" i="3" s="1"/>
  <c r="L9" i="3"/>
  <c r="M9" i="3" s="1"/>
  <c r="Y8" i="3"/>
  <c r="S8" i="3"/>
  <c r="T8" i="3" s="1"/>
  <c r="L8" i="3"/>
  <c r="M8" i="3" s="1"/>
  <c r="Y7" i="3"/>
  <c r="S7" i="3"/>
  <c r="T7" i="3" s="1"/>
  <c r="L7" i="3"/>
  <c r="M7" i="3" s="1"/>
  <c r="Y6" i="3"/>
  <c r="S6" i="3"/>
  <c r="T6" i="3" s="1"/>
  <c r="L6" i="3"/>
  <c r="M6" i="3" s="1"/>
  <c r="Y5" i="3"/>
  <c r="S5" i="3"/>
  <c r="T5" i="3" s="1"/>
  <c r="L5" i="3"/>
  <c r="M5" i="3" s="1"/>
  <c r="Y4" i="3"/>
  <c r="S4" i="3"/>
  <c r="T4" i="3" s="1"/>
  <c r="L4" i="3"/>
  <c r="M4" i="3" s="1"/>
  <c r="Y3" i="3"/>
  <c r="S3" i="3"/>
  <c r="T3" i="3" s="1"/>
  <c r="L3" i="3"/>
  <c r="M3" i="3" s="1"/>
  <c r="Y2" i="3"/>
  <c r="S2" i="3"/>
  <c r="L2" i="3"/>
  <c r="B9" i="4" l="1"/>
  <c r="B8" i="4"/>
  <c r="B7" i="4"/>
  <c r="B6" i="4"/>
  <c r="B5" i="4"/>
  <c r="M2" i="3"/>
  <c r="B59" i="5"/>
  <c r="B58" i="5"/>
  <c r="B57" i="5"/>
  <c r="B56" i="5"/>
  <c r="B55" i="5"/>
  <c r="B51" i="5"/>
  <c r="B50" i="5"/>
  <c r="B49" i="5"/>
  <c r="B48" i="5"/>
  <c r="B47" i="5"/>
  <c r="B46" i="5"/>
  <c r="B45" i="5"/>
  <c r="B44" i="5"/>
  <c r="B43" i="5"/>
  <c r="B42" i="5"/>
  <c r="B41" i="5"/>
  <c r="B40" i="5"/>
  <c r="B36" i="5"/>
  <c r="B35" i="5"/>
  <c r="B34" i="5"/>
  <c r="B33" i="5"/>
  <c r="B29" i="5"/>
  <c r="B28" i="5"/>
  <c r="B24" i="5"/>
  <c r="B23" i="5"/>
  <c r="B22" i="5"/>
  <c r="B21" i="5"/>
  <c r="B17" i="5"/>
  <c r="B16" i="5"/>
  <c r="B15" i="5"/>
  <c r="B14" i="5"/>
  <c r="B10" i="5"/>
  <c r="B9" i="5"/>
  <c r="B8" i="5"/>
  <c r="B7" i="5"/>
  <c r="B6" i="5"/>
  <c r="B2" i="5"/>
  <c r="B12" i="4"/>
  <c r="B11" i="4"/>
  <c r="T2" i="3"/>
  <c r="B27" i="4" l="1"/>
  <c r="B26" i="4"/>
  <c r="B25" i="4"/>
  <c r="B28" i="4" s="1"/>
  <c r="C51" i="5"/>
  <c r="C50" i="5"/>
  <c r="C49" i="5"/>
  <c r="C48" i="5"/>
  <c r="C47" i="5"/>
  <c r="C46" i="5"/>
  <c r="C45" i="5"/>
  <c r="C44" i="5"/>
  <c r="C43" i="5"/>
  <c r="C42" i="5"/>
  <c r="C41" i="5"/>
  <c r="C40" i="5"/>
  <c r="C36" i="5"/>
  <c r="C35" i="5"/>
  <c r="C34" i="5"/>
  <c r="C33" i="5"/>
  <c r="C29" i="5"/>
  <c r="C28" i="5"/>
  <c r="C24" i="5"/>
  <c r="C23" i="5"/>
  <c r="C22" i="5"/>
  <c r="C21" i="5"/>
  <c r="C17" i="5"/>
  <c r="C16" i="5"/>
  <c r="C15" i="5"/>
  <c r="C14" i="5"/>
  <c r="C10" i="5"/>
  <c r="C9" i="5"/>
  <c r="C8" i="5"/>
  <c r="C7" i="5"/>
  <c r="C6" i="5"/>
  <c r="B20" i="4"/>
  <c r="B19" i="4"/>
  <c r="B18" i="4"/>
  <c r="B17" i="4"/>
  <c r="B16" i="4"/>
  <c r="B21" i="4" s="1"/>
</calcChain>
</file>

<file path=xl/sharedStrings.xml><?xml version="1.0" encoding="utf-8"?>
<sst xmlns="http://schemas.openxmlformats.org/spreadsheetml/2006/main" count="672" uniqueCount="618">
  <si>
    <t>One Matrix - Four Steps  (LLM-ready, no background assumed)</t>
  </si>
  <si>
    <t>A single progressive-disclosure matrix for screening, coding, deep-read analysis and reporting.</t>
  </si>
  <si>
    <t>CONTEXT PRIMER  (read this before coding any paper)</t>
  </si>
  <si>
    <t>What is this review about</t>
  </si>
  <si>
    <t>This is a systematic literature review about DIGITAL TWINS used in the built-environment industry, specifically to improve SAFETY and QUALITY of designs. You are screening and coding academic papers.</t>
  </si>
  <si>
    <t>AECO</t>
  </si>
  <si>
    <t>AECO = Architecture, Engineering, Construction and Operations. It means the built-environment / construction industry (buildings, bridges, infrastructure, civil engineering). NOT manufacturing, automotive, aerospace, power/electrical equipment, healthcare, or agriculture.</t>
  </si>
  <si>
    <t>Digital Twin (DT)</t>
  </si>
  <si>
    <t>A Digital Twin is a live virtual replica of a physical asset that is connected to it by data. It is MORE than a static 3D/BIM model. If a paper only says the words 'digital twin' in passing but does not actually build or study one, treat DT as a buzzword (answer 'No').</t>
  </si>
  <si>
    <t>Design for Safety (DfS)</t>
  </si>
  <si>
    <t>Design for Safety = designing to prevent construction/operation safety incidents (e.g. fall from height, hazards, accident prevention).</t>
  </si>
  <si>
    <t>Design for Quality (DfQ)</t>
  </si>
  <si>
    <t>Design for Quality = designing to prevent defects, rework, or quality failures.</t>
  </si>
  <si>
    <t>Prevention through Design (PtD)</t>
  </si>
  <si>
    <t>Prevention through Design = the principle of eliminating risks at the design stage before construction begins. Closely related to DfS/DfQ.</t>
  </si>
  <si>
    <t>BIM</t>
  </si>
  <si>
    <t>BIM = Building Information Modelling. A static, design-stage digital model. A BIM model alone is NOT a Digital Twin (no live data link).</t>
  </si>
  <si>
    <t>bidirectional</t>
  </si>
  <si>
    <t>'bidirectional' means data flows BOTH ways: physical-&gt;virtual AND virtual-&gt;physical (the twin can act back on the real asset). One-way data flow is only a 'digital shadow'.</t>
  </si>
  <si>
    <t>Answer format</t>
  </si>
  <si>
    <t>Every Stage-1 and Stage-2 question is answered strictly as 'Yes' or 'No'. If genuinely unsure from the abstract, answer 'No' (conservative) and add a note. Do not invent information not present in the text.</t>
  </si>
  <si>
    <t>One reason only</t>
  </si>
  <si>
    <t>When a paper is excluded, the matrix auto-picks ONE standardized reason by priority. You do not write the reason yourself.</t>
  </si>
  <si>
    <t>THE FOUR STEPS</t>
  </si>
  <si>
    <t>Step 1 (all 450 papers)</t>
  </si>
  <si>
    <t>An LLM or reviewer fills the AMBER Stage-1 columns (G-K) for EVERY paper, from the TITLE and ABSTRACT only. Column L auto-decides Include/Exclude; column M auto-writes the single exclusion reason.</t>
  </si>
  <si>
    <t>Step 2 (the matrix)</t>
  </si>
  <si>
    <t>This workbook IS the summary matrix. There is nothing separate to generate.</t>
  </si>
  <si>
    <t>Retrieval + PDF gateway</t>
  </si>
  <si>
    <t>For Stage-1 includes, first mark column N 'PDF full text on hand?'. This is the gateway: only papers with the PDF on hand can be deep-read. You can revisit later - when a PDF is found, change N from 'No' to 'Yes' and the paper becomes ready for Stage-2/3.</t>
  </si>
  <si>
    <t>Step 3 (deep read)</t>
  </si>
  <si>
    <t>For papers whose PDF is on hand, fill the RED Stage-2 columns (P-R) and then the GREEN synthesis 'angle' columns (U-AG). These are the evidence for your findings section.</t>
  </si>
  <si>
    <t>Step 4 (report)</t>
  </si>
  <si>
    <t>Open 'Step1_Report' (screening + PRISMA chain + exclusion reasons) and 'Step3_Report' (capability-tier / phase / method / modality / validation / self-improvement tables). Both auto-tally from the same rows.</t>
  </si>
  <si>
    <t>COLOUR KEY</t>
  </si>
  <si>
    <t>Bands</t>
  </si>
  <si>
    <t>AMBER = Stage-1 input (from abstract) · BLUE = PDF gateway · RED = Stage-2 input (from full text) · GREEN = Stage-3 deep-read input · BLUE-GREY = auto formula, do not edit.</t>
  </si>
  <si>
    <t>Golden rule</t>
  </si>
  <si>
    <t>Never delete a paper. A paper excluded at any stage stays in the matrix with its reason recorded. This is what makes the PRISMA flow reproducible.</t>
  </si>
  <si>
    <t>YN</t>
  </si>
  <si>
    <t>Src</t>
  </si>
  <si>
    <t>Bin</t>
  </si>
  <si>
    <t>Tier</t>
  </si>
  <si>
    <t>DfX</t>
  </si>
  <si>
    <t>Self</t>
  </si>
  <si>
    <t>Method</t>
  </si>
  <si>
    <t>Modality</t>
  </si>
  <si>
    <t>Valid</t>
  </si>
  <si>
    <t>Cluster</t>
  </si>
  <si>
    <t>Yes</t>
  </si>
  <si>
    <t>Scopus</t>
  </si>
  <si>
    <t>0</t>
  </si>
  <si>
    <t>Tier 1 - Digital Model (static, no live data)</t>
  </si>
  <si>
    <t>None</t>
  </si>
  <si>
    <t>Computer Vision / CNN / object-detection</t>
  </si>
  <si>
    <t>Single (one data type)</t>
  </si>
  <si>
    <t>Conceptual (no test)</t>
  </si>
  <si>
    <t>BIM-to-Digital-Twin architecture</t>
  </si>
  <si>
    <t>No</t>
  </si>
  <si>
    <t>Web of Science</t>
  </si>
  <si>
    <t>1</t>
  </si>
  <si>
    <t>Tier 2 - Digital Shadow (one-way physical to virtual)</t>
  </si>
  <si>
    <t>Mentioned only</t>
  </si>
  <si>
    <t>Graph Neural Network (GNN)</t>
  </si>
  <si>
    <t>Multi (two or more data types)</t>
  </si>
  <si>
    <t>Simulation</t>
  </si>
  <si>
    <t>Semantic interoperability</t>
  </si>
  <si>
    <t>Lens.org</t>
  </si>
  <si>
    <t>Tier 3 - Digital Twin (bidirectional, two-way)</t>
  </si>
  <si>
    <t>Both</t>
  </si>
  <si>
    <t>Implemented</t>
  </si>
  <si>
    <t>LSTM / RNN (recurrent networks)</t>
  </si>
  <si>
    <t>Single case study</t>
  </si>
  <si>
    <t>Perception / Computer Vision</t>
  </si>
  <si>
    <t>Backward-snowball</t>
  </si>
  <si>
    <t>Tier 4 - Cognitive / Self-improving</t>
  </si>
  <si>
    <t>Other</t>
  </si>
  <si>
    <t>Convergence-characterised</t>
  </si>
  <si>
    <t>Transformer / Large Language Model (LLM)</t>
  </si>
  <si>
    <t>Cross-project (multiple real projects)</t>
  </si>
  <si>
    <t>Design for Safety</t>
  </si>
  <si>
    <t>Forward-snowball</t>
  </si>
  <si>
    <t>Unclear</t>
  </si>
  <si>
    <t>Reinforcement Learning (RL)</t>
  </si>
  <si>
    <t>Predictive analytics / decision support</t>
  </si>
  <si>
    <t>Bayesian / probabilistic</t>
  </si>
  <si>
    <t>Lifecycle / governance</t>
  </si>
  <si>
    <t>Agent-based model (ABM)</t>
  </si>
  <si>
    <t>Finite Element Method / physics-based</t>
  </si>
  <si>
    <t>Ontology / semantic</t>
  </si>
  <si>
    <t>Statistical / change-point</t>
  </si>
  <si>
    <t>Digital Twin platform (no machine learning)</t>
  </si>
  <si>
    <t>Other / Mixed</t>
  </si>
  <si>
    <t>ID</t>
  </si>
  <si>
    <t>Authors (year)</t>
  </si>
  <si>
    <t>Year</t>
  </si>
  <si>
    <t>Journal</t>
  </si>
  <si>
    <t>Title</t>
  </si>
  <si>
    <t>Source database</t>
  </si>
  <si>
    <t>Stage1: Domain is AECO (built environment)?</t>
  </si>
  <si>
    <t>Stage1: Digital Twin is core (not just a buzzword)?</t>
  </si>
  <si>
    <t>Stage1: About Design for Safety / Quality / Prevention through Design?</t>
  </si>
  <si>
    <t>Stage1: Publication type OK (journal/conference article, not editorial/erratum)?</t>
  </si>
  <si>
    <t>Stage1: Written in English (full text)?</t>
  </si>
  <si>
    <t>STAGE-1 decision</t>
  </si>
  <si>
    <t>Stage-1 exclusion reason (auto)</t>
  </si>
  <si>
    <t>GATEWAY: PDF full text on hand? (change to Yes when found)</t>
  </si>
  <si>
    <t>Full text retrieved for PRISMA?</t>
  </si>
  <si>
    <t>Stage2: Digital Twin is the actual subject (full text)?</t>
  </si>
  <si>
    <t>Stage2: Design for Safety/Quality confirmed in full text?</t>
  </si>
  <si>
    <t>Stage2: Methodology is clear enough to code?</t>
  </si>
  <si>
    <t>STAGE-2 decision</t>
  </si>
  <si>
    <t>Stage-2 exclusion reason (auto)</t>
  </si>
  <si>
    <t>Deep-read: Digital Twin capability tier</t>
  </si>
  <si>
    <t>Phase: Design (1/0)</t>
  </si>
  <si>
    <t>Phase: Construction (1/0)</t>
  </si>
  <si>
    <t>Phase: Operation (1/0)</t>
  </si>
  <si>
    <t>Cross-phase? (auto)</t>
  </si>
  <si>
    <t>Deep-read: Design-for-X target</t>
  </si>
  <si>
    <t>Deep-read: Self-improvement / convergence</t>
  </si>
  <si>
    <t>Deep-read: Methodology</t>
  </si>
  <si>
    <t>Deep-read: Data modality</t>
  </si>
  <si>
    <t>Deep-read: Validation level</t>
  </si>
  <si>
    <t>Deep-read: Quality appraisal score (0 to 5)</t>
  </si>
  <si>
    <t>Deep-read: Thematic cluster</t>
  </si>
  <si>
    <t>Deep-read: Key evidence / notes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</si>
  <si>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</si>
  <si>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</si>
  <si>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</si>
  <si>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</si>
  <si>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</si>
  <si>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</si>
  <si>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</si>
  <si>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</si>
  <si>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</si>
  <si>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</si>
  <si>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</si>
  <si>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</si>
  <si>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</si>
  <si>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</si>
  <si>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</si>
  <si>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</si>
  <si>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</si>
  <si>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</si>
  <si>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</si>
  <si>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</si>
  <si>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</si>
  <si>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</si>
  <si>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</si>
  <si>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</si>
  <si>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</si>
  <si>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</si>
  <si>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</si>
  <si>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</si>
  <si>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</si>
  <si>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</si>
  <si>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</si>
  <si>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</si>
  <si>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</si>
  <si>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</si>
  <si>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</si>
  <si>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</si>
  <si>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</si>
  <si>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</si>
  <si>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</si>
  <si>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</si>
  <si>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</si>
  <si>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</si>
  <si>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</si>
  <si>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</si>
  <si>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</si>
  <si>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</si>
  <si>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</si>
  <si>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</si>
  <si>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</si>
  <si>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</si>
  <si>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</si>
  <si>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</si>
  <si>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</si>
  <si>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</si>
  <si>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</si>
  <si>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</si>
  <si>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</si>
  <si>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</si>
  <si>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</si>
  <si>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</si>
  <si>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</si>
  <si>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</si>
  <si>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</si>
  <si>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</si>
  <si>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</si>
  <si>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</si>
  <si>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</si>
  <si>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</si>
  <si>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</si>
  <si>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</si>
  <si>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</si>
  <si>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</si>
  <si>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</si>
  <si>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</si>
  <si>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</si>
  <si>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</si>
  <si>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</si>
  <si>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</si>
  <si>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</si>
  <si>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</si>
  <si>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</si>
  <si>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</si>
  <si>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</si>
  <si>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</si>
  <si>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</si>
  <si>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</si>
  <si>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</si>
  <si>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</si>
  <si>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</si>
  <si>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</si>
  <si>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</si>
  <si>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</si>
  <si>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</si>
  <si>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</si>
  <si>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</si>
  <si>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</si>
  <si>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</si>
  <si>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</si>
  <si>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</si>
  <si>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</si>
  <si>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</si>
  <si>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</si>
  <si>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</si>
  <si>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</si>
  <si>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</si>
  <si>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</si>
  <si>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</si>
  <si>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</si>
  <si>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</si>
  <si>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</si>
  <si>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</si>
  <si>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</si>
  <si>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</si>
  <si>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</si>
  <si>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</si>
  <si>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</si>
  <si>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</si>
  <si>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</si>
  <si>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</si>
  <si>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</si>
  <si>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</si>
  <si>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</si>
  <si>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</si>
  <si>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</si>
  <si>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</si>
  <si>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</si>
  <si>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</si>
  <si>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</si>
  <si>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</si>
  <si>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</si>
  <si>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</si>
  <si>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</si>
  <si>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</si>
  <si>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</si>
  <si>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</si>
  <si>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</si>
  <si>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</si>
  <si>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</si>
  <si>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</si>
  <si>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</si>
  <si>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</si>
  <si>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</si>
  <si>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</si>
  <si>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</si>
  <si>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</si>
  <si>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</si>
  <si>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</si>
  <si>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</si>
  <si>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</si>
  <si>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</si>
  <si>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</si>
  <si>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</si>
  <si>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</si>
  <si>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</si>
  <si>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</si>
  <si>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</si>
  <si>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</si>
  <si>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</si>
  <si>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</si>
  <si>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</si>
  <si>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</si>
  <si>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</si>
  <si>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</si>
  <si>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</si>
  <si>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</si>
  <si>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</si>
  <si>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</si>
  <si>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</si>
  <si>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</si>
  <si>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</si>
  <si>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</si>
  <si>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</si>
  <si>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</si>
  <si>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</si>
  <si>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</si>
  <si>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</si>
  <si>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</si>
  <si>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</si>
  <si>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</si>
  <si>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</si>
  <si>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</si>
  <si>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</si>
  <si>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</si>
  <si>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</si>
  <si>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</si>
  <si>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</si>
  <si>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</si>
  <si>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</si>
  <si>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</si>
  <si>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</si>
  <si>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</si>
  <si>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</si>
  <si>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</si>
  <si>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</si>
  <si>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</si>
  <si>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</si>
  <si>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</si>
  <si>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</si>
  <si>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</si>
  <si>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</si>
  <si>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</si>
  <si>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</si>
  <si>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</si>
  <si>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</si>
  <si>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</si>
  <si>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</si>
  <si>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</si>
  <si>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</si>
  <si>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</si>
  <si>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</si>
  <si>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</si>
  <si>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</si>
  <si>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</si>
  <si>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</si>
  <si>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</si>
  <si>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</si>
  <si>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</si>
  <si>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</si>
  <si>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</si>
  <si>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</si>
  <si>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</si>
  <si>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</si>
  <si>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</si>
  <si>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</si>
  <si>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</si>
  <si>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</si>
  <si>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</si>
  <si>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</si>
  <si>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</si>
  <si>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</si>
  <si>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</si>
  <si>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</si>
  <si>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</si>
  <si>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</si>
  <si>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</si>
  <si>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</si>
  <si>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</si>
  <si>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</si>
  <si>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</si>
  <si>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</si>
  <si>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</si>
  <si>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</si>
  <si>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</si>
  <si>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</si>
  <si>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</si>
  <si>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</si>
  <si>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</si>
  <si>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</si>
  <si>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</si>
  <si>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</si>
  <si>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</si>
  <si>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</si>
  <si>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</si>
  <si>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</si>
  <si>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</si>
  <si>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</si>
  <si>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</si>
  <si>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</si>
  <si>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</si>
  <si>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</si>
  <si>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</si>
  <si>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</si>
  <si>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</si>
  <si>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</si>
  <si>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</si>
  <si>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</si>
  <si>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</si>
  <si>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</si>
  <si>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</si>
  <si>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</si>
  <si>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</si>
  <si>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</si>
  <si>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</si>
  <si>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</si>
  <si>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</si>
  <si>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</si>
  <si>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</si>
  <si>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</si>
  <si>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</si>
  <si>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</si>
  <si>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</si>
  <si>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</si>
  <si>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</si>
  <si>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</si>
  <si>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</si>
  <si>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</si>
  <si>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</si>
  <si>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</si>
  <si>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</si>
  <si>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</si>
  <si>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</si>
  <si>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</si>
  <si>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</si>
  <si>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</si>
  <si>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</si>
  <si>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</si>
  <si>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</si>
  <si>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</si>
  <si>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</si>
  <si>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</si>
  <si>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</si>
  <si>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</si>
  <si>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</si>
  <si>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</si>
  <si>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</si>
  <si>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</si>
  <si>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</si>
  <si>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</si>
  <si>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</si>
  <si>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</si>
  <si>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</si>
  <si>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</si>
  <si>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</si>
  <si>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</si>
  <si>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</si>
  <si>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</si>
  <si>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</si>
  <si>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</si>
  <si>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</si>
  <si>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</si>
  <si>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</si>
  <si>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</si>
  <si>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</si>
  <si>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</si>
  <si>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</si>
  <si>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</si>
  <si>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</si>
  <si>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</si>
  <si>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</si>
  <si>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</si>
  <si>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</si>
  <si>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</si>
  <si>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</si>
  <si>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</si>
  <si>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</si>
  <si>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</si>
  <si>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</si>
  <si>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</si>
  <si>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</si>
  <si>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</si>
  <si>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</si>
  <si>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</si>
  <si>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</si>
  <si>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</si>
  <si>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</si>
  <si>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</si>
  <si>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</si>
  <si>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</si>
  <si>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</si>
  <si>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</si>
  <si>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</si>
  <si>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</si>
  <si>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</si>
  <si>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</si>
  <si>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</si>
  <si>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</si>
  <si>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</si>
  <si>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</si>
  <si>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</si>
  <si>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</si>
  <si>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</si>
  <si>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</si>
  <si>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</si>
  <si>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</si>
  <si>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</si>
  <si>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</si>
  <si>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</si>
  <si>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</si>
  <si>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</si>
  <si>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</si>
  <si>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</si>
  <si>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</si>
  <si>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</si>
  <si>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</si>
  <si>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</si>
  <si>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</si>
  <si>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</si>
  <si>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</si>
  <si>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</si>
  <si>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</si>
  <si>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</si>
  <si>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</si>
  <si>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</si>
  <si>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</si>
  <si>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</si>
  <si>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</si>
  <si>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</si>
  <si>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</si>
  <si>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</si>
  <si>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</si>
  <si>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</si>
  <si>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</si>
  <si>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</si>
  <si>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</si>
  <si>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</si>
  <si>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</si>
  <si>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</si>
  <si>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</si>
  <si>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</si>
  <si>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</si>
  <si>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</si>
  <si>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</si>
  <si>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</si>
  <si>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</si>
  <si>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</si>
  <si>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</si>
  <si>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</si>
  <si>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</si>
  <si>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</si>
  <si>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</si>
  <si>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</si>
  <si>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</si>
  <si>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</si>
  <si>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</si>
  <si>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</si>
  <si>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</si>
  <si>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</si>
  <si>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</si>
  <si>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</si>
  <si>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</si>
  <si>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</si>
  <si>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</si>
  <si>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</si>
  <si>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</si>
  <si>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</si>
  <si>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</si>
  <si>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</si>
  <si>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</si>
  <si>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</si>
  <si>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</si>
  <si>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</si>
  <si>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</si>
  <si>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</si>
  <si>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</si>
  <si>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</si>
  <si>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</si>
  <si>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</si>
  <si>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</si>
  <si>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</si>
  <si>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</si>
  <si>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</si>
  <si>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</si>
  <si>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</si>
  <si>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</si>
  <si>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</si>
  <si>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</si>
  <si>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</si>
  <si>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</si>
  <si>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</si>
  <si>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</si>
  <si>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STEP 1 &amp; PRISMA - screening outcomes (auto)</t>
  </si>
  <si>
    <t>PRISMA stage</t>
  </si>
  <si>
    <t>n</t>
  </si>
  <si>
    <t>Records identified (in matrix)</t>
  </si>
  <si>
    <t>Records screened (Stage-1 decided)</t>
  </si>
  <si>
    <t xml:space="preserve">  Excluded at Stage-1 (title/abstract)</t>
  </si>
  <si>
    <t>Stage-1 INCLUDE -&gt; sought for retrieval</t>
  </si>
  <si>
    <t xml:space="preserve">  PDF full text on hand (gateway = Yes)</t>
  </si>
  <si>
    <t xml:space="preserve">  PDF not yet on hand (revisit later)</t>
  </si>
  <si>
    <t>Reports assessed for eligibility (full text)</t>
  </si>
  <si>
    <t xml:space="preserve">  Excluded at Stage-2 (full text, with reasons)</t>
  </si>
  <si>
    <t>STUDIES INCLUDED IN SYNTHESIS</t>
  </si>
  <si>
    <t>Stage-1 exclusion reasons</t>
  </si>
  <si>
    <t>Reason</t>
  </si>
  <si>
    <t>Wrong domain (non-AECO)</t>
  </si>
  <si>
    <t>Digital Twin not core / buzzword</t>
  </si>
  <si>
    <t>No Design for Safety/Quality/PtD</t>
  </si>
  <si>
    <t>Wrong publication type</t>
  </si>
  <si>
    <t>Non-English</t>
  </si>
  <si>
    <t>Total Stage-1 exclusions</t>
  </si>
  <si>
    <t>Stage-2 (full-text) exclusion reasons</t>
  </si>
  <si>
    <t>Digital Twin mentioned only, not the subject</t>
  </si>
  <si>
    <t>No Design for Safety/Quality in full text</t>
  </si>
  <si>
    <t>Methodology not codable</t>
  </si>
  <si>
    <t>Total Stage-2 exclusions</t>
  </si>
  <si>
    <t>STEP 3 - deep-read synthesis tables (auto = findings section)</t>
  </si>
  <si>
    <t>Total included studies</t>
  </si>
  <si>
    <t>Digital Twin capability tier (Gap 1)</t>
  </si>
  <si>
    <t>Category</t>
  </si>
  <si>
    <t>% of incl.</t>
  </si>
  <si>
    <t>Self-improvement / convergence (core gap)</t>
  </si>
  <si>
    <t>Design-for-X target</t>
  </si>
  <si>
    <t>Data modality (Gap 2)</t>
  </si>
  <si>
    <t>Validation level (Gap 5)</t>
  </si>
  <si>
    <t>Methodology (RQ2)</t>
  </si>
  <si>
    <t>Lifecycle phase coverage (Gap 3)</t>
  </si>
  <si>
    <t>Coverage</t>
  </si>
  <si>
    <t>Design (any)</t>
  </si>
  <si>
    <t>Construction (any)</t>
  </si>
  <si>
    <t>Operation (any)</t>
  </si>
  <si>
    <t>Single-phase</t>
  </si>
  <si>
    <t>Multi-phase (cross-phase)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</si>
</sst>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color theme="1"/>
      <name val="Calibri"/>
      <family val="2"/>
      <charset val="1"/>
    </font>
    <font>
      <b/>
      <sz val="14"/>
      <color rgb="FF1F4E5F"/>
      <name val="Arial"/>
      <charset val="1"/>
    </font>
    <font>
      <i/>
      <sz val="10"/>
      <color rgb="FF595959"/>
      <name val="Arial"/>
      <charset val="1"/>
    </font>
    <font>
      <b/>
      <sz val="12"/>
      <color rgb="FF1F4E5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3"/>
      <color rgb="FF1F4E5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7DB"/>
        <bgColor rgb="FFFFFFFF"/>
      </patternFill>
    </fill>
    <fill>
      <patternFill patternType="solid">
        <fgColor rgb="FFEAF1F4"/>
        <bgColor rgb="FFE7EEFC"/>
      </patternFill>
    </fill>
    <fill>
      <patternFill patternType="solid">
        <fgColor rgb="FFE7EEFC"/>
        <bgColor rgb="FFEAF1F4"/>
      </patternFill>
    </fill>
    <fill>
      <patternFill patternType="solid">
        <fgColor rgb="FFFCE4E4"/>
        <bgColor rgb="FFFFF7DB"/>
      </patternFill>
    </fill>
    <fill>
      <patternFill patternType="solid">
        <fgColor rgb="FFE3F0E1"/>
        <bgColor rgb="FFEAF1F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top" wrapText="1"/>
    </xf>
    <xf numFmtId="0" fontId="8" fillId="0" borderId="0" xfId="0" applyFont="1"/>
    <xf numFmtId="0" fontId="6" fillId="2" borderId="1" xfId="0" applyFont="1" applyFill="1" applyBorder="1"/>
    <xf numFmtId="0" fontId="5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4" fillId="7" borderId="1" xfId="0" applyFont="1" applyFill="1" applyBorder="1"/>
    <xf numFmtId="0" fontId="10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10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10" fillId="7" borderId="0" xfId="0" applyFont="1" applyFill="1"/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DB"/>
      <rgbColor rgb="FFE7EE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4"/>
      <rgbColor rgb="FFE3F0E1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6"/>
  <sheetViews>
    <sheetView showGridLines="0" tabSelected="1" zoomScaleNormal="100" workbookViewId="0"/>
  </sheetViews>
  <sheetFormatPr defaultColWidth="8.7109375" defaultRowHeight="15"/>
  <cols>
    <col min="1" max="1" width="3" customWidth="1"/>
    <col min="2" max="2" width="32" customWidth="1"/>
    <col min="3" max="3" width="98" customWidth="1"/>
  </cols>
  <sheetData>
    <row r="2" spans="2:3" ht="17.45">
      <c r="B2" s="1" t="s">
        <v>0</v>
      </c>
    </row>
    <row r="3" spans="2:3">
      <c r="B3" s="2" t="s">
        <v>1</v>
      </c>
    </row>
    <row r="5" spans="2:3">
      <c r="B5" s="3" t="s">
        <v>2</v>
      </c>
    </row>
    <row r="6" spans="2:3" ht="23.85">
      <c r="B6" s="4" t="s">
        <v>3</v>
      </c>
      <c r="C6" s="5" t="s">
        <v>4</v>
      </c>
    </row>
    <row r="7" spans="2:3" ht="35.1">
      <c r="B7" s="4" t="s">
        <v>5</v>
      </c>
      <c r="C7" s="5" t="s">
        <v>6</v>
      </c>
    </row>
    <row r="8" spans="2:3" ht="35.1">
      <c r="B8" s="4" t="s">
        <v>7</v>
      </c>
      <c r="C8" s="5" t="s">
        <v>8</v>
      </c>
    </row>
    <row r="9" spans="2:3" ht="23.85">
      <c r="B9" s="4" t="s">
        <v>9</v>
      </c>
      <c r="C9" s="5" t="s">
        <v>10</v>
      </c>
    </row>
    <row r="10" spans="2:3">
      <c r="B10" s="4" t="s">
        <v>11</v>
      </c>
      <c r="C10" s="5" t="s">
        <v>12</v>
      </c>
    </row>
    <row r="11" spans="2:3" ht="23.85">
      <c r="B11" s="4" t="s">
        <v>13</v>
      </c>
      <c r="C11" s="5" t="s">
        <v>14</v>
      </c>
    </row>
    <row r="12" spans="2:3" ht="23.85">
      <c r="B12" s="4" t="s">
        <v>15</v>
      </c>
      <c r="C12" s="5" t="s">
        <v>16</v>
      </c>
    </row>
    <row r="13" spans="2:3" ht="23.85">
      <c r="B13" s="4" t="s">
        <v>17</v>
      </c>
      <c r="C13" s="5" t="s">
        <v>18</v>
      </c>
    </row>
    <row r="14" spans="2:3" ht="23.85">
      <c r="B14" s="4" t="s">
        <v>19</v>
      </c>
      <c r="C14" s="5" t="s">
        <v>20</v>
      </c>
    </row>
    <row r="15" spans="2:3" ht="23.85">
      <c r="B15" s="4" t="s">
        <v>21</v>
      </c>
      <c r="C15" s="5" t="s">
        <v>22</v>
      </c>
    </row>
    <row r="17" spans="2:3">
      <c r="B17" s="3" t="s">
        <v>23</v>
      </c>
    </row>
    <row r="18" spans="2:3" ht="23.85">
      <c r="B18" s="4" t="s">
        <v>24</v>
      </c>
      <c r="C18" s="5" t="s">
        <v>25</v>
      </c>
    </row>
    <row r="19" spans="2:3">
      <c r="B19" s="4" t="s">
        <v>26</v>
      </c>
      <c r="C19" s="5" t="s">
        <v>27</v>
      </c>
    </row>
    <row r="20" spans="2:3" ht="35.1">
      <c r="B20" s="4" t="s">
        <v>28</v>
      </c>
      <c r="C20" s="5" t="s">
        <v>29</v>
      </c>
    </row>
    <row r="21" spans="2:3" ht="23.85">
      <c r="B21" s="4" t="s">
        <v>30</v>
      </c>
      <c r="C21" s="5" t="s">
        <v>31</v>
      </c>
    </row>
    <row r="22" spans="2:3" ht="23.85">
      <c r="B22" s="4" t="s">
        <v>32</v>
      </c>
      <c r="C22" s="5" t="s">
        <v>33</v>
      </c>
    </row>
    <row r="24" spans="2:3">
      <c r="B24" s="3" t="s">
        <v>34</v>
      </c>
    </row>
    <row r="25" spans="2:3" ht="23.85">
      <c r="B25" s="4" t="s">
        <v>35</v>
      </c>
      <c r="C25" s="5" t="s">
        <v>36</v>
      </c>
    </row>
    <row r="26" spans="2:3" ht="23.85">
      <c r="B26" s="4" t="s">
        <v>37</v>
      </c>
      <c r="C26" s="5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showGridLines="0" zoomScaleNormal="100" workbookViewId="0"/>
  </sheetViews>
  <sheetFormatPr defaultColWidth="8.7109375" defaultRowHeight="15"/>
  <cols>
    <col min="1" max="1" width="6" customWidth="1"/>
    <col min="2" max="2" width="20" customWidth="1"/>
    <col min="3" max="3" width="6" customWidth="1"/>
    <col min="4" max="4" width="56" customWidth="1"/>
    <col min="5" max="5" width="27" customWidth="1"/>
    <col min="6" max="6" width="28" customWidth="1"/>
    <col min="7" max="7" width="46" customWidth="1"/>
    <col min="8" max="8" width="33" customWidth="1"/>
    <col min="9" max="9" width="41" customWidth="1"/>
    <col min="10" max="10" width="42" customWidth="1"/>
  </cols>
  <sheetData>
    <row r="1" spans="1:10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  <c r="F1" s="6" t="s">
        <v>44</v>
      </c>
      <c r="G1" s="6" t="s">
        <v>45</v>
      </c>
      <c r="H1" s="6" t="s">
        <v>46</v>
      </c>
      <c r="I1" s="6" t="s">
        <v>47</v>
      </c>
      <c r="J1" s="6" t="s">
        <v>48</v>
      </c>
    </row>
    <row r="2" spans="1:10">
      <c r="A2" s="7" t="s">
        <v>49</v>
      </c>
      <c r="B2" s="7" t="s">
        <v>50</v>
      </c>
      <c r="C2" s="7" t="s">
        <v>51</v>
      </c>
      <c r="D2" s="7" t="s">
        <v>52</v>
      </c>
      <c r="E2" s="7" t="s">
        <v>9</v>
      </c>
      <c r="F2" s="7" t="s">
        <v>53</v>
      </c>
      <c r="G2" s="7" t="s">
        <v>54</v>
      </c>
      <c r="H2" s="7" t="s">
        <v>55</v>
      </c>
      <c r="I2" s="7" t="s">
        <v>56</v>
      </c>
      <c r="J2" s="7" t="s">
        <v>57</v>
      </c>
    </row>
    <row r="3" spans="1:10">
      <c r="A3" s="7" t="s">
        <v>58</v>
      </c>
      <c r="B3" s="7" t="s">
        <v>59</v>
      </c>
      <c r="C3" s="7" t="s">
        <v>60</v>
      </c>
      <c r="D3" s="7" t="s">
        <v>61</v>
      </c>
      <c r="E3" s="7" t="s">
        <v>11</v>
      </c>
      <c r="F3" s="7" t="s">
        <v>62</v>
      </c>
      <c r="G3" s="7" t="s">
        <v>63</v>
      </c>
      <c r="H3" s="7" t="s">
        <v>64</v>
      </c>
      <c r="I3" s="7" t="s">
        <v>65</v>
      </c>
      <c r="J3" s="7" t="s">
        <v>66</v>
      </c>
    </row>
    <row r="4" spans="1:10">
      <c r="B4" s="7" t="s">
        <v>67</v>
      </c>
      <c r="D4" s="7" t="s">
        <v>68</v>
      </c>
      <c r="E4" s="7" t="s">
        <v>69</v>
      </c>
      <c r="F4" s="7" t="s">
        <v>70</v>
      </c>
      <c r="G4" s="7" t="s">
        <v>71</v>
      </c>
      <c r="I4" s="7" t="s">
        <v>72</v>
      </c>
      <c r="J4" s="7" t="s">
        <v>73</v>
      </c>
    </row>
    <row r="5" spans="1:10">
      <c r="B5" s="7" t="s">
        <v>74</v>
      </c>
      <c r="D5" s="7" t="s">
        <v>75</v>
      </c>
      <c r="E5" s="7" t="s">
        <v>76</v>
      </c>
      <c r="F5" s="7" t="s">
        <v>77</v>
      </c>
      <c r="G5" s="7" t="s">
        <v>78</v>
      </c>
      <c r="I5" s="7" t="s">
        <v>79</v>
      </c>
      <c r="J5" s="7" t="s">
        <v>80</v>
      </c>
    </row>
    <row r="6" spans="1:10">
      <c r="B6" s="7" t="s">
        <v>81</v>
      </c>
      <c r="D6" s="7" t="s">
        <v>82</v>
      </c>
      <c r="G6" s="7" t="s">
        <v>83</v>
      </c>
      <c r="J6" s="7" t="s">
        <v>84</v>
      </c>
    </row>
    <row r="7" spans="1:10">
      <c r="G7" s="7" t="s">
        <v>85</v>
      </c>
      <c r="J7" s="7" t="s">
        <v>86</v>
      </c>
    </row>
    <row r="8" spans="1:10">
      <c r="G8" s="7" t="s">
        <v>87</v>
      </c>
      <c r="J8" s="7" t="s">
        <v>76</v>
      </c>
    </row>
    <row r="9" spans="1:10">
      <c r="G9" s="7" t="s">
        <v>88</v>
      </c>
    </row>
    <row r="10" spans="1:10">
      <c r="G10" s="7" t="s">
        <v>89</v>
      </c>
    </row>
    <row r="11" spans="1:10">
      <c r="G11" s="7" t="s">
        <v>90</v>
      </c>
    </row>
    <row r="12" spans="1:10">
      <c r="G12" s="7" t="s">
        <v>91</v>
      </c>
    </row>
    <row r="13" spans="1:10">
      <c r="G13" s="7" t="s">
        <v>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451"/>
  <sheetViews>
    <sheetView showGridLines="0" zoomScaleNormal="100" workbookViewId="0">
      <pane xSplit="6" ySplit="1" topLeftCell="G2" activePane="bottomRight" state="frozen"/>
      <selection pane="bottomRight"/>
      <selection pane="bottomLeft" activeCell="A2" sqref="A2"/>
      <selection pane="topRight" activeCell="G1" sqref="G1"/>
    </sheetView>
  </sheetViews>
  <sheetFormatPr defaultColWidth="8.7109375" defaultRowHeight="15"/>
  <cols>
    <col min="1" max="1" width="7" customWidth="1"/>
    <col min="2" max="2" width="20" customWidth="1"/>
    <col min="3" max="3" width="7" customWidth="1"/>
    <col min="4" max="4" width="20" customWidth="1"/>
    <col min="5" max="5" width="34" customWidth="1"/>
    <col min="6" max="6" width="16" customWidth="1"/>
    <col min="7" max="7" width="13" customWidth="1"/>
    <col min="8" max="8" width="14" customWidth="1"/>
    <col min="9" max="9" width="15" customWidth="1"/>
    <col min="10" max="10" width="13" customWidth="1"/>
    <col min="11" max="12" width="11" customWidth="1"/>
    <col min="13" max="13" width="24" customWidth="1"/>
    <col min="14" max="14" width="13" customWidth="1"/>
    <col min="15" max="15" width="12" customWidth="1"/>
    <col min="16" max="17" width="13" customWidth="1"/>
    <col min="18" max="18" width="12" customWidth="1"/>
    <col min="19" max="19" width="11" customWidth="1"/>
    <col min="20" max="20" width="24" customWidth="1"/>
    <col min="21" max="21" width="22" customWidth="1"/>
    <col min="22" max="24" width="8" customWidth="1"/>
    <col min="25" max="25" width="11" customWidth="1"/>
    <col min="26" max="27" width="20" customWidth="1"/>
    <col min="28" max="28" width="26" customWidth="1"/>
    <col min="29" max="29" width="18" customWidth="1"/>
    <col min="30" max="30" width="22" customWidth="1"/>
    <col min="31" max="31" width="9" customWidth="1"/>
    <col min="32" max="32" width="24" customWidth="1"/>
    <col min="33" max="33" width="40" customWidth="1"/>
  </cols>
  <sheetData>
    <row r="1" spans="1:33" ht="57.75" customHeight="1">
      <c r="A1" s="6" t="s">
        <v>93</v>
      </c>
      <c r="B1" s="6" t="s">
        <v>94</v>
      </c>
      <c r="C1" s="6" t="s">
        <v>95</v>
      </c>
      <c r="D1" s="6" t="s">
        <v>96</v>
      </c>
      <c r="E1" s="6" t="s">
        <v>97</v>
      </c>
      <c r="F1" s="6" t="s">
        <v>98</v>
      </c>
      <c r="G1" s="6" t="s">
        <v>99</v>
      </c>
      <c r="H1" s="6" t="s">
        <v>100</v>
      </c>
      <c r="I1" s="6" t="s">
        <v>101</v>
      </c>
      <c r="J1" s="6" t="s">
        <v>102</v>
      </c>
      <c r="K1" s="6" t="s">
        <v>103</v>
      </c>
      <c r="L1" s="6" t="s">
        <v>104</v>
      </c>
      <c r="M1" s="6" t="s">
        <v>105</v>
      </c>
      <c r="N1" s="6" t="s">
        <v>106</v>
      </c>
      <c r="O1" s="6" t="s">
        <v>107</v>
      </c>
      <c r="P1" s="6" t="s">
        <v>108</v>
      </c>
      <c r="Q1" s="6" t="s">
        <v>109</v>
      </c>
      <c r="R1" s="6" t="s">
        <v>110</v>
      </c>
      <c r="S1" s="6" t="s">
        <v>111</v>
      </c>
      <c r="T1" s="6" t="s">
        <v>112</v>
      </c>
      <c r="U1" s="6" t="s">
        <v>113</v>
      </c>
      <c r="V1" s="6" t="s">
        <v>114</v>
      </c>
      <c r="W1" s="6" t="s">
        <v>115</v>
      </c>
      <c r="X1" s="6" t="s">
        <v>116</v>
      </c>
      <c r="Y1" s="6" t="s">
        <v>117</v>
      </c>
      <c r="Z1" s="6" t="s">
        <v>118</v>
      </c>
      <c r="AA1" s="6" t="s">
        <v>119</v>
      </c>
      <c r="AB1" s="6" t="s">
        <v>120</v>
      </c>
      <c r="AC1" s="6" t="s">
        <v>121</v>
      </c>
      <c r="AD1" s="6" t="s">
        <v>122</v>
      </c>
      <c r="AE1" s="6" t="s">
        <v>123</v>
      </c>
      <c r="AF1" s="6" t="s">
        <v>124</v>
      </c>
      <c r="AG1" s="6" t="s">
        <v>125</v>
      </c>
    </row>
    <row r="2" spans="1:33">
      <c r="A2" s="8" t="s">
        <v>126</v>
      </c>
      <c r="B2" s="9"/>
      <c r="C2" s="8"/>
      <c r="D2" s="9"/>
      <c r="E2" s="9"/>
      <c r="F2" s="8"/>
      <c r="G2" s="10"/>
      <c r="H2" s="10"/>
      <c r="I2" s="10"/>
      <c r="J2" s="10"/>
      <c r="K2" s="10"/>
      <c r="L2" s="11" t="str">
        <f>IF(COUNTBLANK(G2:K2)=5,"",IF(COUNTIF(G2:K2,"No")&gt;0,"EXCLUDE","INCLUDE"))</f>
        <v/>
      </c>
      <c r="M2" s="11" t="str">
        <f>IF(L2&lt;&gt;"EXCLUDE","",IF(G2="No","Wrong domain (non-AECO)",IF(H2="No","Digital Twin not core / buzzword",IF(I2="No","No Design for Safety/Quality/PtD",IF(J2="No","Wrong publication type",IF(K2="No","Non-English",""))))))</f>
        <v/>
      </c>
      <c r="N2" s="12"/>
      <c r="O2" s="12"/>
      <c r="P2" s="13"/>
      <c r="Q2" s="13"/>
      <c r="R2" s="13"/>
      <c r="S2" s="11" t="str">
        <f>IF(N2&lt;&gt;"Yes","",IF(COUNTBLANK(P2:R2)=3,"",IF(COUNTIF(P2:R2,"No")&gt;0,"EXCLUDE","INCLUDE")))</f>
        <v/>
      </c>
      <c r="T2" s="11" t="str">
        <f>IF(S2&lt;&gt;"EXCLUDE","",IF(P2="No","Digital Twin mentioned only, not the subject",IF(Q2="No","No Design for Safety/Quality in full text",IF(R2="No","Methodology not codable",""))))</f>
        <v/>
      </c>
      <c r="U2" s="14"/>
      <c r="V2" s="14"/>
      <c r="W2" s="14"/>
      <c r="X2" s="14"/>
      <c r="Y2" s="11" t="str">
        <f>IF(SUM(V2:X2)=0,"",IF(SUM(V2:X2)&gt;=2,"Multi","Single"))</f>
        <v/>
      </c>
      <c r="Z2" s="14"/>
      <c r="AA2" s="14"/>
      <c r="AB2" s="14"/>
      <c r="AC2" s="14"/>
      <c r="AD2" s="14"/>
      <c r="AE2" s="14"/>
      <c r="AF2" s="14"/>
      <c r="AG2" s="15"/>
    </row>
    <row r="3" spans="1:33">
      <c r="A3" s="8" t="s">
        <v>127</v>
      </c>
      <c r="B3" s="9"/>
      <c r="C3" s="8"/>
      <c r="D3" s="9"/>
      <c r="E3" s="9"/>
      <c r="F3" s="8"/>
      <c r="G3" s="10"/>
      <c r="H3" s="10"/>
      <c r="I3" s="10"/>
      <c r="J3" s="10"/>
      <c r="K3" s="10"/>
      <c r="L3" s="11" t="str">
        <f>IF(COUNTBLANK(G3:K3)=5,"",IF(COUNTIF(G3:K3,"No")&gt;0,"EXCLUDE","INCLUDE"))</f>
        <v/>
      </c>
      <c r="M3" s="11" t="str">
        <f>IF(L3&lt;&gt;"EXCLUDE","",IF(G3="No","Wrong domain (non-AECO)",IF(H3="No","Digital Twin not core / buzzword",IF(I3="No","No Design for Safety/Quality/PtD",IF(J3="No","Wrong publication type",IF(K3="No","Non-English",""))))))</f>
        <v/>
      </c>
      <c r="N3" s="12"/>
      <c r="O3" s="12"/>
      <c r="P3" s="13"/>
      <c r="Q3" s="13"/>
      <c r="R3" s="13"/>
      <c r="S3" s="11" t="str">
        <f>IF(N3&lt;&gt;"Yes","",IF(COUNTBLANK(P3:R3)=3,"",IF(COUNTIF(P3:R3,"No")&gt;0,"EXCLUDE","INCLUDE")))</f>
        <v/>
      </c>
      <c r="T3" s="11" t="str">
        <f>IF(S3&lt;&gt;"EXCLUDE","",IF(P3="No","Digital Twin mentioned only, not the subject",IF(Q3="No","No Design for Safety/Quality in full text",IF(R3="No","Methodology not codable",""))))</f>
        <v/>
      </c>
      <c r="U3" s="14"/>
      <c r="V3" s="14"/>
      <c r="W3" s="14"/>
      <c r="X3" s="14"/>
      <c r="Y3" s="11" t="str">
        <f>IF(SUM(V3:X3)=0,"",IF(SUM(V3:X3)&gt;=2,"Multi","Single"))</f>
        <v/>
      </c>
      <c r="Z3" s="14"/>
      <c r="AA3" s="14"/>
      <c r="AB3" s="14"/>
      <c r="AC3" s="14"/>
      <c r="AD3" s="14"/>
      <c r="AE3" s="14"/>
      <c r="AF3" s="14"/>
      <c r="AG3" s="15"/>
    </row>
    <row r="4" spans="1:33">
      <c r="A4" s="8" t="s">
        <v>128</v>
      </c>
      <c r="B4" s="9"/>
      <c r="C4" s="8"/>
      <c r="D4" s="9"/>
      <c r="E4" s="9"/>
      <c r="F4" s="8"/>
      <c r="G4" s="10"/>
      <c r="H4" s="10"/>
      <c r="I4" s="10"/>
      <c r="J4" s="10"/>
      <c r="K4" s="10"/>
      <c r="L4" s="11" t="str">
        <f>IF(COUNTBLANK(G4:K4)=5,"",IF(COUNTIF(G4:K4,"No")&gt;0,"EXCLUDE","INCLUDE"))</f>
        <v/>
      </c>
      <c r="M4" s="11" t="str">
        <f>IF(L4&lt;&gt;"EXCLUDE","",IF(G4="No","Wrong domain (non-AECO)",IF(H4="No","Digital Twin not core / buzzword",IF(I4="No","No Design for Safety/Quality/PtD",IF(J4="No","Wrong publication type",IF(K4="No","Non-English",""))))))</f>
        <v/>
      </c>
      <c r="N4" s="12"/>
      <c r="O4" s="12"/>
      <c r="P4" s="13"/>
      <c r="Q4" s="13"/>
      <c r="R4" s="13"/>
      <c r="S4" s="11" t="str">
        <f>IF(N4&lt;&gt;"Yes","",IF(COUNTBLANK(P4:R4)=3,"",IF(COUNTIF(P4:R4,"No")&gt;0,"EXCLUDE","INCLUDE")))</f>
        <v/>
      </c>
      <c r="T4" s="11" t="str">
        <f>IF(S4&lt;&gt;"EXCLUDE","",IF(P4="No","Digital Twin mentioned only, not the subject",IF(Q4="No","No Design for Safety/Quality in full text",IF(R4="No","Methodology not codable",""))))</f>
        <v/>
      </c>
      <c r="U4" s="14"/>
      <c r="V4" s="14"/>
      <c r="W4" s="14"/>
      <c r="X4" s="14"/>
      <c r="Y4" s="11" t="str">
        <f>IF(SUM(V4:X4)=0,"",IF(SUM(V4:X4)&gt;=2,"Multi","Single"))</f>
        <v/>
      </c>
      <c r="Z4" s="14"/>
      <c r="AA4" s="14"/>
      <c r="AB4" s="14"/>
      <c r="AC4" s="14"/>
      <c r="AD4" s="14"/>
      <c r="AE4" s="14"/>
      <c r="AF4" s="14"/>
      <c r="AG4" s="15"/>
    </row>
    <row r="5" spans="1:33">
      <c r="A5" s="8" t="s">
        <v>129</v>
      </c>
      <c r="B5" s="9"/>
      <c r="C5" s="8"/>
      <c r="D5" s="9"/>
      <c r="E5" s="9"/>
      <c r="F5" s="8"/>
      <c r="G5" s="10"/>
      <c r="H5" s="10"/>
      <c r="I5" s="10"/>
      <c r="J5" s="10"/>
      <c r="K5" s="10"/>
      <c r="L5" s="11" t="str">
        <f>IF(COUNTBLANK(G5:K5)=5,"",IF(COUNTIF(G5:K5,"No")&gt;0,"EXCLUDE","INCLUDE"))</f>
        <v/>
      </c>
      <c r="M5" s="11" t="str">
        <f>IF(L5&lt;&gt;"EXCLUDE","",IF(G5="No","Wrong domain (non-AECO)",IF(H5="No","Digital Twin not core / buzzword",IF(I5="No","No Design for Safety/Quality/PtD",IF(J5="No","Wrong publication type",IF(K5="No","Non-English",""))))))</f>
        <v/>
      </c>
      <c r="N5" s="12"/>
      <c r="O5" s="12"/>
      <c r="P5" s="13"/>
      <c r="Q5" s="13"/>
      <c r="R5" s="13"/>
      <c r="S5" s="11" t="str">
        <f>IF(N5&lt;&gt;"Yes","",IF(COUNTBLANK(P5:R5)=3,"",IF(COUNTIF(P5:R5,"No")&gt;0,"EXCLUDE","INCLUDE")))</f>
        <v/>
      </c>
      <c r="T5" s="11" t="str">
        <f>IF(S5&lt;&gt;"EXCLUDE","",IF(P5="No","Digital Twin mentioned only, not the subject",IF(Q5="No","No Design for Safety/Quality in full text",IF(R5="No","Methodology not codable",""))))</f>
        <v/>
      </c>
      <c r="U5" s="14"/>
      <c r="V5" s="14"/>
      <c r="W5" s="14"/>
      <c r="X5" s="14"/>
      <c r="Y5" s="11" t="str">
        <f>IF(SUM(V5:X5)=0,"",IF(SUM(V5:X5)&gt;=2,"Multi","Single"))</f>
        <v/>
      </c>
      <c r="Z5" s="14"/>
      <c r="AA5" s="14"/>
      <c r="AB5" s="14"/>
      <c r="AC5" s="14"/>
      <c r="AD5" s="14"/>
      <c r="AE5" s="14"/>
      <c r="AF5" s="14"/>
      <c r="AG5" s="15"/>
    </row>
    <row r="6" spans="1:33">
      <c r="A6" s="8" t="s">
        <v>130</v>
      </c>
      <c r="B6" s="9"/>
      <c r="C6" s="8"/>
      <c r="D6" s="9"/>
      <c r="E6" s="9"/>
      <c r="F6" s="8"/>
      <c r="G6" s="10"/>
      <c r="H6" s="10"/>
      <c r="I6" s="10"/>
      <c r="J6" s="10"/>
      <c r="K6" s="10"/>
      <c r="L6" s="11" t="str">
        <f>IF(COUNTBLANK(G6:K6)=5,"",IF(COUNTIF(G6:K6,"No")&gt;0,"EXCLUDE","INCLUDE"))</f>
        <v/>
      </c>
      <c r="M6" s="11" t="str">
        <f>IF(L6&lt;&gt;"EXCLUDE","",IF(G6="No","Wrong domain (non-AECO)",IF(H6="No","Digital Twin not core / buzzword",IF(I6="No","No Design for Safety/Quality/PtD",IF(J6="No","Wrong publication type",IF(K6="No","Non-English",""))))))</f>
        <v/>
      </c>
      <c r="N6" s="12"/>
      <c r="O6" s="12"/>
      <c r="P6" s="13"/>
      <c r="Q6" s="13"/>
      <c r="R6" s="13"/>
      <c r="S6" s="11" t="str">
        <f>IF(N6&lt;&gt;"Yes","",IF(COUNTBLANK(P6:R6)=3,"",IF(COUNTIF(P6:R6,"No")&gt;0,"EXCLUDE","INCLUDE")))</f>
        <v/>
      </c>
      <c r="T6" s="11" t="str">
        <f>IF(S6&lt;&gt;"EXCLUDE","",IF(P6="No","Digital Twin mentioned only, not the subject",IF(Q6="No","No Design for Safety/Quality in full text",IF(R6="No","Methodology not codable",""))))</f>
        <v/>
      </c>
      <c r="U6" s="14"/>
      <c r="V6" s="14"/>
      <c r="W6" s="14"/>
      <c r="X6" s="14"/>
      <c r="Y6" s="11" t="str">
        <f>IF(SUM(V6:X6)=0,"",IF(SUM(V6:X6)&gt;=2,"Multi","Single"))</f>
        <v/>
      </c>
      <c r="Z6" s="14"/>
      <c r="AA6" s="14"/>
      <c r="AB6" s="14"/>
      <c r="AC6" s="14"/>
      <c r="AD6" s="14"/>
      <c r="AE6" s="14"/>
      <c r="AF6" s="14"/>
      <c r="AG6" s="15"/>
    </row>
    <row r="7" spans="1:33">
      <c r="A7" s="8" t="s">
        <v>131</v>
      </c>
      <c r="B7" s="9"/>
      <c r="C7" s="8"/>
      <c r="D7" s="9"/>
      <c r="E7" s="9"/>
      <c r="F7" s="8"/>
      <c r="G7" s="10"/>
      <c r="H7" s="10"/>
      <c r="I7" s="10"/>
      <c r="J7" s="10"/>
      <c r="K7" s="10"/>
      <c r="L7" s="11" t="str">
        <f>IF(COUNTBLANK(G7:K7)=5,"",IF(COUNTIF(G7:K7,"No")&gt;0,"EXCLUDE","INCLUDE"))</f>
        <v/>
      </c>
      <c r="M7" s="11" t="str">
        <f>IF(L7&lt;&gt;"EXCLUDE","",IF(G7="No","Wrong domain (non-AECO)",IF(H7="No","Digital Twin not core / buzzword",IF(I7="No","No Design for Safety/Quality/PtD",IF(J7="No","Wrong publication type",IF(K7="No","Non-English",""))))))</f>
        <v/>
      </c>
      <c r="N7" s="12"/>
      <c r="O7" s="12"/>
      <c r="P7" s="13"/>
      <c r="Q7" s="13"/>
      <c r="R7" s="13"/>
      <c r="S7" s="11" t="str">
        <f>IF(N7&lt;&gt;"Yes","",IF(COUNTBLANK(P7:R7)=3,"",IF(COUNTIF(P7:R7,"No")&gt;0,"EXCLUDE","INCLUDE")))</f>
        <v/>
      </c>
      <c r="T7" s="11" t="str">
        <f>IF(S7&lt;&gt;"EXCLUDE","",IF(P7="No","Digital Twin mentioned only, not the subject",IF(Q7="No","No Design for Safety/Quality in full text",IF(R7="No","Methodology not codable",""))))</f>
        <v/>
      </c>
      <c r="U7" s="14"/>
      <c r="V7" s="14"/>
      <c r="W7" s="14"/>
      <c r="X7" s="14"/>
      <c r="Y7" s="11" t="str">
        <f>IF(SUM(V7:X7)=0,"",IF(SUM(V7:X7)&gt;=2,"Multi","Single"))</f>
        <v/>
      </c>
      <c r="Z7" s="14"/>
      <c r="AA7" s="14"/>
      <c r="AB7" s="14"/>
      <c r="AC7" s="14"/>
      <c r="AD7" s="14"/>
      <c r="AE7" s="14"/>
      <c r="AF7" s="14"/>
      <c r="AG7" s="15"/>
    </row>
    <row r="8" spans="1:33">
      <c r="A8" s="8" t="s">
        <v>132</v>
      </c>
      <c r="B8" s="9"/>
      <c r="C8" s="8"/>
      <c r="D8" s="9"/>
      <c r="E8" s="9"/>
      <c r="F8" s="8"/>
      <c r="G8" s="10"/>
      <c r="H8" s="10"/>
      <c r="I8" s="10"/>
      <c r="J8" s="10"/>
      <c r="K8" s="10"/>
      <c r="L8" s="11" t="str">
        <f>IF(COUNTBLANK(G8:K8)=5,"",IF(COUNTIF(G8:K8,"No")&gt;0,"EXCLUDE","INCLUDE"))</f>
        <v/>
      </c>
      <c r="M8" s="11" t="str">
        <f>IF(L8&lt;&gt;"EXCLUDE","",IF(G8="No","Wrong domain (non-AECO)",IF(H8="No","Digital Twin not core / buzzword",IF(I8="No","No Design for Safety/Quality/PtD",IF(J8="No","Wrong publication type",IF(K8="No","Non-English",""))))))</f>
        <v/>
      </c>
      <c r="N8" s="12"/>
      <c r="O8" s="12"/>
      <c r="P8" s="13"/>
      <c r="Q8" s="13"/>
      <c r="R8" s="13"/>
      <c r="S8" s="11" t="str">
        <f>IF(N8&lt;&gt;"Yes","",IF(COUNTBLANK(P8:R8)=3,"",IF(COUNTIF(P8:R8,"No")&gt;0,"EXCLUDE","INCLUDE")))</f>
        <v/>
      </c>
      <c r="T8" s="11" t="str">
        <f>IF(S8&lt;&gt;"EXCLUDE","",IF(P8="No","Digital Twin mentioned only, not the subject",IF(Q8="No","No Design for Safety/Quality in full text",IF(R8="No","Methodology not codable",""))))</f>
        <v/>
      </c>
      <c r="U8" s="14"/>
      <c r="V8" s="14"/>
      <c r="W8" s="14"/>
      <c r="X8" s="14"/>
      <c r="Y8" s="11" t="str">
        <f>IF(SUM(V8:X8)=0,"",IF(SUM(V8:X8)&gt;=2,"Multi","Single"))</f>
        <v/>
      </c>
      <c r="Z8" s="14"/>
      <c r="AA8" s="14"/>
      <c r="AB8" s="14"/>
      <c r="AC8" s="14"/>
      <c r="AD8" s="14"/>
      <c r="AE8" s="14"/>
      <c r="AF8" s="14"/>
      <c r="AG8" s="15"/>
    </row>
    <row r="9" spans="1:33">
      <c r="A9" s="8" t="s">
        <v>133</v>
      </c>
      <c r="B9" s="9"/>
      <c r="C9" s="8"/>
      <c r="D9" s="9"/>
      <c r="E9" s="9"/>
      <c r="F9" s="8"/>
      <c r="G9" s="10"/>
      <c r="H9" s="10"/>
      <c r="I9" s="10"/>
      <c r="J9" s="10"/>
      <c r="K9" s="10"/>
      <c r="L9" s="11" t="str">
        <f>IF(COUNTBLANK(G9:K9)=5,"",IF(COUNTIF(G9:K9,"No")&gt;0,"EXCLUDE","INCLUDE"))</f>
        <v/>
      </c>
      <c r="M9" s="11" t="str">
        <f>IF(L9&lt;&gt;"EXCLUDE","",IF(G9="No","Wrong domain (non-AECO)",IF(H9="No","Digital Twin not core / buzzword",IF(I9="No","No Design for Safety/Quality/PtD",IF(J9="No","Wrong publication type",IF(K9="No","Non-English",""))))))</f>
        <v/>
      </c>
      <c r="N9" s="12"/>
      <c r="O9" s="12"/>
      <c r="P9" s="13"/>
      <c r="Q9" s="13"/>
      <c r="R9" s="13"/>
      <c r="S9" s="11" t="str">
        <f>IF(N9&lt;&gt;"Yes","",IF(COUNTBLANK(P9:R9)=3,"",IF(COUNTIF(P9:R9,"No")&gt;0,"EXCLUDE","INCLUDE")))</f>
        <v/>
      </c>
      <c r="T9" s="11" t="str">
        <f>IF(S9&lt;&gt;"EXCLUDE","",IF(P9="No","Digital Twin mentioned only, not the subject",IF(Q9="No","No Design for Safety/Quality in full text",IF(R9="No","Methodology not codable",""))))</f>
        <v/>
      </c>
      <c r="U9" s="14"/>
      <c r="V9" s="14"/>
      <c r="W9" s="14"/>
      <c r="X9" s="14"/>
      <c r="Y9" s="11" t="str">
        <f>IF(SUM(V9:X9)=0,"",IF(SUM(V9:X9)&gt;=2,"Multi","Single"))</f>
        <v/>
      </c>
      <c r="Z9" s="14"/>
      <c r="AA9" s="14"/>
      <c r="AB9" s="14"/>
      <c r="AC9" s="14"/>
      <c r="AD9" s="14"/>
      <c r="AE9" s="14"/>
      <c r="AF9" s="14"/>
      <c r="AG9" s="15"/>
    </row>
    <row r="10" spans="1:33">
      <c r="A10" s="8" t="s">
        <v>134</v>
      </c>
      <c r="B10" s="9"/>
      <c r="C10" s="8"/>
      <c r="D10" s="9"/>
      <c r="E10" s="9"/>
      <c r="F10" s="8"/>
      <c r="G10" s="10"/>
      <c r="H10" s="10"/>
      <c r="I10" s="10"/>
      <c r="J10" s="10"/>
      <c r="K10" s="10"/>
      <c r="L10" s="11" t="str">
        <f>IF(COUNTBLANK(G10:K10)=5,"",IF(COUNTIF(G10:K10,"No")&gt;0,"EXCLUDE","INCLUDE"))</f>
        <v/>
      </c>
      <c r="M10" s="11" t="str">
        <f>IF(L10&lt;&gt;"EXCLUDE","",IF(G10="No","Wrong domain (non-AECO)",IF(H10="No","Digital Twin not core / buzzword",IF(I10="No","No Design for Safety/Quality/PtD",IF(J10="No","Wrong publication type",IF(K10="No","Non-English",""))))))</f>
        <v/>
      </c>
      <c r="N10" s="12"/>
      <c r="O10" s="12"/>
      <c r="P10" s="13"/>
      <c r="Q10" s="13"/>
      <c r="R10" s="13"/>
      <c r="S10" s="11" t="str">
        <f>IF(N10&lt;&gt;"Yes","",IF(COUNTBLANK(P10:R10)=3,"",IF(COUNTIF(P10:R10,"No")&gt;0,"EXCLUDE","INCLUDE")))</f>
        <v/>
      </c>
      <c r="T10" s="11" t="str">
        <f>IF(S10&lt;&gt;"EXCLUDE","",IF(P10="No","Digital Twin mentioned only, not the subject",IF(Q10="No","No Design for Safety/Quality in full text",IF(R10="No","Methodology not codable",""))))</f>
        <v/>
      </c>
      <c r="U10" s="14"/>
      <c r="V10" s="14"/>
      <c r="W10" s="14"/>
      <c r="X10" s="14"/>
      <c r="Y10" s="11" t="str">
        <f>IF(SUM(V10:X10)=0,"",IF(SUM(V10:X10)&gt;=2,"Multi","Single"))</f>
        <v/>
      </c>
      <c r="Z10" s="14"/>
      <c r="AA10" s="14"/>
      <c r="AB10" s="14"/>
      <c r="AC10" s="14"/>
      <c r="AD10" s="14"/>
      <c r="AE10" s="14"/>
      <c r="AF10" s="14"/>
      <c r="AG10" s="15"/>
    </row>
    <row r="11" spans="1:33">
      <c r="A11" s="8" t="s">
        <v>135</v>
      </c>
      <c r="B11" s="9"/>
      <c r="C11" s="8"/>
      <c r="D11" s="9"/>
      <c r="E11" s="9"/>
      <c r="F11" s="8"/>
      <c r="G11" s="10"/>
      <c r="H11" s="10"/>
      <c r="I11" s="10"/>
      <c r="J11" s="10"/>
      <c r="K11" s="10"/>
      <c r="L11" s="11" t="str">
        <f>IF(COUNTBLANK(G11:K11)=5,"",IF(COUNTIF(G11:K11,"No")&gt;0,"EXCLUDE","INCLUDE"))</f>
        <v/>
      </c>
      <c r="M11" s="11" t="str">
        <f>IF(L11&lt;&gt;"EXCLUDE","",IF(G11="No","Wrong domain (non-AECO)",IF(H11="No","Digital Twin not core / buzzword",IF(I11="No","No Design for Safety/Quality/PtD",IF(J11="No","Wrong publication type",IF(K11="No","Non-English",""))))))</f>
        <v/>
      </c>
      <c r="N11" s="12"/>
      <c r="O11" s="12"/>
      <c r="P11" s="13"/>
      <c r="Q11" s="13"/>
      <c r="R11" s="13"/>
      <c r="S11" s="11" t="str">
        <f>IF(N11&lt;&gt;"Yes","",IF(COUNTBLANK(P11:R11)=3,"",IF(COUNTIF(P11:R11,"No")&gt;0,"EXCLUDE","INCLUDE")))</f>
        <v/>
      </c>
      <c r="T11" s="11" t="str">
        <f>IF(S11&lt;&gt;"EXCLUDE","",IF(P11="No","Digital Twin mentioned only, not the subject",IF(Q11="No","No Design for Safety/Quality in full text",IF(R11="No","Methodology not codable",""))))</f>
        <v/>
      </c>
      <c r="U11" s="14"/>
      <c r="V11" s="14"/>
      <c r="W11" s="14"/>
      <c r="X11" s="14"/>
      <c r="Y11" s="11" t="str">
        <f>IF(SUM(V11:X11)=0,"",IF(SUM(V11:X11)&gt;=2,"Multi","Single"))</f>
        <v/>
      </c>
      <c r="Z11" s="14"/>
      <c r="AA11" s="14"/>
      <c r="AB11" s="14"/>
      <c r="AC11" s="14"/>
      <c r="AD11" s="14"/>
      <c r="AE11" s="14"/>
      <c r="AF11" s="14"/>
      <c r="AG11" s="15"/>
    </row>
    <row r="12" spans="1:33">
      <c r="A12" s="8" t="s">
        <v>136</v>
      </c>
      <c r="B12" s="9"/>
      <c r="C12" s="8"/>
      <c r="D12" s="9"/>
      <c r="E12" s="9"/>
      <c r="F12" s="8"/>
      <c r="G12" s="10"/>
      <c r="H12" s="10"/>
      <c r="I12" s="10"/>
      <c r="J12" s="10"/>
      <c r="K12" s="10"/>
      <c r="L12" s="11" t="str">
        <f>IF(COUNTBLANK(G12:K12)=5,"",IF(COUNTIF(G12:K12,"No")&gt;0,"EXCLUDE","INCLUDE"))</f>
        <v/>
      </c>
      <c r="M12" s="11" t="str">
        <f>IF(L12&lt;&gt;"EXCLUDE","",IF(G12="No","Wrong domain (non-AECO)",IF(H12="No","Digital Twin not core / buzzword",IF(I12="No","No Design for Safety/Quality/PtD",IF(J12="No","Wrong publication type",IF(K12="No","Non-English",""))))))</f>
        <v/>
      </c>
      <c r="N12" s="12"/>
      <c r="O12" s="12"/>
      <c r="P12" s="13"/>
      <c r="Q12" s="13"/>
      <c r="R12" s="13"/>
      <c r="S12" s="11" t="str">
        <f>IF(N12&lt;&gt;"Yes","",IF(COUNTBLANK(P12:R12)=3,"",IF(COUNTIF(P12:R12,"No")&gt;0,"EXCLUDE","INCLUDE")))</f>
        <v/>
      </c>
      <c r="T12" s="11" t="str">
        <f>IF(S12&lt;&gt;"EXCLUDE","",IF(P12="No","Digital Twin mentioned only, not the subject",IF(Q12="No","No Design for Safety/Quality in full text",IF(R12="No","Methodology not codable",""))))</f>
        <v/>
      </c>
      <c r="U12" s="14"/>
      <c r="V12" s="14"/>
      <c r="W12" s="14"/>
      <c r="X12" s="14"/>
      <c r="Y12" s="11" t="str">
        <f>IF(SUM(V12:X12)=0,"",IF(SUM(V12:X12)&gt;=2,"Multi","Single"))</f>
        <v/>
      </c>
      <c r="Z12" s="14"/>
      <c r="AA12" s="14"/>
      <c r="AB12" s="14"/>
      <c r="AC12" s="14"/>
      <c r="AD12" s="14"/>
      <c r="AE12" s="14"/>
      <c r="AF12" s="14"/>
      <c r="AG12" s="15"/>
    </row>
    <row r="13" spans="1:33">
      <c r="A13" s="8" t="s">
        <v>137</v>
      </c>
      <c r="B13" s="9"/>
      <c r="C13" s="8"/>
      <c r="D13" s="9"/>
      <c r="E13" s="9"/>
      <c r="F13" s="8"/>
      <c r="G13" s="10"/>
      <c r="H13" s="10"/>
      <c r="I13" s="10"/>
      <c r="J13" s="10"/>
      <c r="K13" s="10"/>
      <c r="L13" s="11" t="str">
        <f>IF(COUNTBLANK(G13:K13)=5,"",IF(COUNTIF(G13:K13,"No")&gt;0,"EXCLUDE","INCLUDE"))</f>
        <v/>
      </c>
      <c r="M13" s="11" t="str">
        <f>IF(L13&lt;&gt;"EXCLUDE","",IF(G13="No","Wrong domain (non-AECO)",IF(H13="No","Digital Twin not core / buzzword",IF(I13="No","No Design for Safety/Quality/PtD",IF(J13="No","Wrong publication type",IF(K13="No","Non-English",""))))))</f>
        <v/>
      </c>
      <c r="N13" s="12"/>
      <c r="O13" s="12"/>
      <c r="P13" s="13"/>
      <c r="Q13" s="13"/>
      <c r="R13" s="13"/>
      <c r="S13" s="11" t="str">
        <f>IF(N13&lt;&gt;"Yes","",IF(COUNTBLANK(P13:R13)=3,"",IF(COUNTIF(P13:R13,"No")&gt;0,"EXCLUDE","INCLUDE")))</f>
        <v/>
      </c>
      <c r="T13" s="11" t="str">
        <f>IF(S13&lt;&gt;"EXCLUDE","",IF(P13="No","Digital Twin mentioned only, not the subject",IF(Q13="No","No Design for Safety/Quality in full text",IF(R13="No","Methodology not codable",""))))</f>
        <v/>
      </c>
      <c r="U13" s="14"/>
      <c r="V13" s="14"/>
      <c r="W13" s="14"/>
      <c r="X13" s="14"/>
      <c r="Y13" s="11" t="str">
        <f>IF(SUM(V13:X13)=0,"",IF(SUM(V13:X13)&gt;=2,"Multi","Single"))</f>
        <v/>
      </c>
      <c r="Z13" s="14"/>
      <c r="AA13" s="14"/>
      <c r="AB13" s="14"/>
      <c r="AC13" s="14"/>
      <c r="AD13" s="14"/>
      <c r="AE13" s="14"/>
      <c r="AF13" s="14"/>
      <c r="AG13" s="15"/>
    </row>
    <row r="14" spans="1:33">
      <c r="A14" s="8" t="s">
        <v>138</v>
      </c>
      <c r="B14" s="9"/>
      <c r="C14" s="8"/>
      <c r="D14" s="9"/>
      <c r="E14" s="9"/>
      <c r="F14" s="8"/>
      <c r="G14" s="10"/>
      <c r="H14" s="10"/>
      <c r="I14" s="10"/>
      <c r="J14" s="10"/>
      <c r="K14" s="10"/>
      <c r="L14" s="11" t="str">
        <f>IF(COUNTBLANK(G14:K14)=5,"",IF(COUNTIF(G14:K14,"No")&gt;0,"EXCLUDE","INCLUDE"))</f>
        <v/>
      </c>
      <c r="M14" s="11" t="str">
        <f>IF(L14&lt;&gt;"EXCLUDE","",IF(G14="No","Wrong domain (non-AECO)",IF(H14="No","Digital Twin not core / buzzword",IF(I14="No","No Design for Safety/Quality/PtD",IF(J14="No","Wrong publication type",IF(K14="No","Non-English",""))))))</f>
        <v/>
      </c>
      <c r="N14" s="12"/>
      <c r="O14" s="12"/>
      <c r="P14" s="13"/>
      <c r="Q14" s="13"/>
      <c r="R14" s="13"/>
      <c r="S14" s="11" t="str">
        <f>IF(N14&lt;&gt;"Yes","",IF(COUNTBLANK(P14:R14)=3,"",IF(COUNTIF(P14:R14,"No")&gt;0,"EXCLUDE","INCLUDE")))</f>
        <v/>
      </c>
      <c r="T14" s="11" t="str">
        <f>IF(S14&lt;&gt;"EXCLUDE","",IF(P14="No","Digital Twin mentioned only, not the subject",IF(Q14="No","No Design for Safety/Quality in full text",IF(R14="No","Methodology not codable",""))))</f>
        <v/>
      </c>
      <c r="U14" s="14"/>
      <c r="V14" s="14"/>
      <c r="W14" s="14"/>
      <c r="X14" s="14"/>
      <c r="Y14" s="11" t="str">
        <f>IF(SUM(V14:X14)=0,"",IF(SUM(V14:X14)&gt;=2,"Multi","Single"))</f>
        <v/>
      </c>
      <c r="Z14" s="14"/>
      <c r="AA14" s="14"/>
      <c r="AB14" s="14"/>
      <c r="AC14" s="14"/>
      <c r="AD14" s="14"/>
      <c r="AE14" s="14"/>
      <c r="AF14" s="14"/>
      <c r="AG14" s="15"/>
    </row>
    <row r="15" spans="1:33">
      <c r="A15" s="8" t="s">
        <v>139</v>
      </c>
      <c r="B15" s="9"/>
      <c r="C15" s="8"/>
      <c r="D15" s="9"/>
      <c r="E15" s="9"/>
      <c r="F15" s="8"/>
      <c r="G15" s="10"/>
      <c r="H15" s="10"/>
      <c r="I15" s="10"/>
      <c r="J15" s="10"/>
      <c r="K15" s="10"/>
      <c r="L15" s="11" t="str">
        <f>IF(COUNTBLANK(G15:K15)=5,"",IF(COUNTIF(G15:K15,"No")&gt;0,"EXCLUDE","INCLUDE"))</f>
        <v/>
      </c>
      <c r="M15" s="11" t="str">
        <f>IF(L15&lt;&gt;"EXCLUDE","",IF(G15="No","Wrong domain (non-AECO)",IF(H15="No","Digital Twin not core / buzzword",IF(I15="No","No Design for Safety/Quality/PtD",IF(J15="No","Wrong publication type",IF(K15="No","Non-English",""))))))</f>
        <v/>
      </c>
      <c r="N15" s="12"/>
      <c r="O15" s="12"/>
      <c r="P15" s="13"/>
      <c r="Q15" s="13"/>
      <c r="R15" s="13"/>
      <c r="S15" s="11" t="str">
        <f>IF(N15&lt;&gt;"Yes","",IF(COUNTBLANK(P15:R15)=3,"",IF(COUNTIF(P15:R15,"No")&gt;0,"EXCLUDE","INCLUDE")))</f>
        <v/>
      </c>
      <c r="T15" s="11" t="str">
        <f>IF(S15&lt;&gt;"EXCLUDE","",IF(P15="No","Digital Twin mentioned only, not the subject",IF(Q15="No","No Design for Safety/Quality in full text",IF(R15="No","Methodology not codable",""))))</f>
        <v/>
      </c>
      <c r="U15" s="14"/>
      <c r="V15" s="14"/>
      <c r="W15" s="14"/>
      <c r="X15" s="14"/>
      <c r="Y15" s="11" t="str">
        <f>IF(SUM(V15:X15)=0,"",IF(SUM(V15:X15)&gt;=2,"Multi","Single"))</f>
        <v/>
      </c>
      <c r="Z15" s="14"/>
      <c r="AA15" s="14"/>
      <c r="AB15" s="14"/>
      <c r="AC15" s="14"/>
      <c r="AD15" s="14"/>
      <c r="AE15" s="14"/>
      <c r="AF15" s="14"/>
      <c r="AG15" s="15"/>
    </row>
    <row r="16" spans="1:33">
      <c r="A16" s="8" t="s">
        <v>140</v>
      </c>
      <c r="B16" s="9"/>
      <c r="C16" s="8"/>
      <c r="D16" s="9"/>
      <c r="E16" s="9"/>
      <c r="F16" s="8"/>
      <c r="G16" s="10"/>
      <c r="H16" s="10"/>
      <c r="I16" s="10"/>
      <c r="J16" s="10"/>
      <c r="K16" s="10"/>
      <c r="L16" s="11" t="str">
        <f>IF(COUNTBLANK(G16:K16)=5,"",IF(COUNTIF(G16:K16,"No")&gt;0,"EXCLUDE","INCLUDE"))</f>
        <v/>
      </c>
      <c r="M16" s="11" t="str">
        <f>IF(L16&lt;&gt;"EXCLUDE","",IF(G16="No","Wrong domain (non-AECO)",IF(H16="No","Digital Twin not core / buzzword",IF(I16="No","No Design for Safety/Quality/PtD",IF(J16="No","Wrong publication type",IF(K16="No","Non-English",""))))))</f>
        <v/>
      </c>
      <c r="N16" s="12"/>
      <c r="O16" s="12"/>
      <c r="P16" s="13"/>
      <c r="Q16" s="13"/>
      <c r="R16" s="13"/>
      <c r="S16" s="11" t="str">
        <f>IF(N16&lt;&gt;"Yes","",IF(COUNTBLANK(P16:R16)=3,"",IF(COUNTIF(P16:R16,"No")&gt;0,"EXCLUDE","INCLUDE")))</f>
        <v/>
      </c>
      <c r="T16" s="11" t="str">
        <f>IF(S16&lt;&gt;"EXCLUDE","",IF(P16="No","Digital Twin mentioned only, not the subject",IF(Q16="No","No Design for Safety/Quality in full text",IF(R16="No","Methodology not codable",""))))</f>
        <v/>
      </c>
      <c r="U16" s="14"/>
      <c r="V16" s="14"/>
      <c r="W16" s="14"/>
      <c r="X16" s="14"/>
      <c r="Y16" s="11" t="str">
        <f>IF(SUM(V16:X16)=0,"",IF(SUM(V16:X16)&gt;=2,"Multi","Single"))</f>
        <v/>
      </c>
      <c r="Z16" s="14"/>
      <c r="AA16" s="14"/>
      <c r="AB16" s="14"/>
      <c r="AC16" s="14"/>
      <c r="AD16" s="14"/>
      <c r="AE16" s="14"/>
      <c r="AF16" s="14"/>
      <c r="AG16" s="15"/>
    </row>
    <row r="17" spans="1:33">
      <c r="A17" s="8" t="s">
        <v>141</v>
      </c>
      <c r="B17" s="9"/>
      <c r="C17" s="8"/>
      <c r="D17" s="9"/>
      <c r="E17" s="9"/>
      <c r="F17" s="8"/>
      <c r="G17" s="10"/>
      <c r="H17" s="10"/>
      <c r="I17" s="10"/>
      <c r="J17" s="10"/>
      <c r="K17" s="10"/>
      <c r="L17" s="11" t="str">
        <f>IF(COUNTBLANK(G17:K17)=5,"",IF(COUNTIF(G17:K17,"No")&gt;0,"EXCLUDE","INCLUDE"))</f>
        <v/>
      </c>
      <c r="M17" s="11" t="str">
        <f>IF(L17&lt;&gt;"EXCLUDE","",IF(G17="No","Wrong domain (non-AECO)",IF(H17="No","Digital Twin not core / buzzword",IF(I17="No","No Design for Safety/Quality/PtD",IF(J17="No","Wrong publication type",IF(K17="No","Non-English",""))))))</f>
        <v/>
      </c>
      <c r="N17" s="12"/>
      <c r="O17" s="12"/>
      <c r="P17" s="13"/>
      <c r="Q17" s="13"/>
      <c r="R17" s="13"/>
      <c r="S17" s="11" t="str">
        <f>IF(N17&lt;&gt;"Yes","",IF(COUNTBLANK(P17:R17)=3,"",IF(COUNTIF(P17:R17,"No")&gt;0,"EXCLUDE","INCLUDE")))</f>
        <v/>
      </c>
      <c r="T17" s="11" t="str">
        <f>IF(S17&lt;&gt;"EXCLUDE","",IF(P17="No","Digital Twin mentioned only, not the subject",IF(Q17="No","No Design for Safety/Quality in full text",IF(R17="No","Methodology not codable",""))))</f>
        <v/>
      </c>
      <c r="U17" s="14"/>
      <c r="V17" s="14"/>
      <c r="W17" s="14"/>
      <c r="X17" s="14"/>
      <c r="Y17" s="11" t="str">
        <f>IF(SUM(V17:X17)=0,"",IF(SUM(V17:X17)&gt;=2,"Multi","Single"))</f>
        <v/>
      </c>
      <c r="Z17" s="14"/>
      <c r="AA17" s="14"/>
      <c r="AB17" s="14"/>
      <c r="AC17" s="14"/>
      <c r="AD17" s="14"/>
      <c r="AE17" s="14"/>
      <c r="AF17" s="14"/>
      <c r="AG17" s="15"/>
    </row>
    <row r="18" spans="1:33">
      <c r="A18" s="8" t="s">
        <v>142</v>
      </c>
      <c r="B18" s="9"/>
      <c r="C18" s="8"/>
      <c r="D18" s="9"/>
      <c r="E18" s="9"/>
      <c r="F18" s="8"/>
      <c r="G18" s="10"/>
      <c r="H18" s="10"/>
      <c r="I18" s="10"/>
      <c r="J18" s="10"/>
      <c r="K18" s="10"/>
      <c r="L18" s="11" t="str">
        <f>IF(COUNTBLANK(G18:K18)=5,"",IF(COUNTIF(G18:K18,"No")&gt;0,"EXCLUDE","INCLUDE"))</f>
        <v/>
      </c>
      <c r="M18" s="11" t="str">
        <f>IF(L18&lt;&gt;"EXCLUDE","",IF(G18="No","Wrong domain (non-AECO)",IF(H18="No","Digital Twin not core / buzzword",IF(I18="No","No Design for Safety/Quality/PtD",IF(J18="No","Wrong publication type",IF(K18="No","Non-English",""))))))</f>
        <v/>
      </c>
      <c r="N18" s="12"/>
      <c r="O18" s="12"/>
      <c r="P18" s="13"/>
      <c r="Q18" s="13"/>
      <c r="R18" s="13"/>
      <c r="S18" s="11" t="str">
        <f>IF(N18&lt;&gt;"Yes","",IF(COUNTBLANK(P18:R18)=3,"",IF(COUNTIF(P18:R18,"No")&gt;0,"EXCLUDE","INCLUDE")))</f>
        <v/>
      </c>
      <c r="T18" s="11" t="str">
        <f>IF(S18&lt;&gt;"EXCLUDE","",IF(P18="No","Digital Twin mentioned only, not the subject",IF(Q18="No","No Design for Safety/Quality in full text",IF(R18="No","Methodology not codable",""))))</f>
        <v/>
      </c>
      <c r="U18" s="14"/>
      <c r="V18" s="14"/>
      <c r="W18" s="14"/>
      <c r="X18" s="14"/>
      <c r="Y18" s="11" t="str">
        <f>IF(SUM(V18:X18)=0,"",IF(SUM(V18:X18)&gt;=2,"Multi","Single"))</f>
        <v/>
      </c>
      <c r="Z18" s="14"/>
      <c r="AA18" s="14"/>
      <c r="AB18" s="14"/>
      <c r="AC18" s="14"/>
      <c r="AD18" s="14"/>
      <c r="AE18" s="14"/>
      <c r="AF18" s="14"/>
      <c r="AG18" s="15"/>
    </row>
    <row r="19" spans="1:33">
      <c r="A19" s="8" t="s">
        <v>143</v>
      </c>
      <c r="B19" s="9"/>
      <c r="C19" s="8"/>
      <c r="D19" s="9"/>
      <c r="E19" s="9"/>
      <c r="F19" s="8"/>
      <c r="G19" s="10"/>
      <c r="H19" s="10"/>
      <c r="I19" s="10"/>
      <c r="J19" s="10"/>
      <c r="K19" s="10"/>
      <c r="L19" s="11" t="str">
        <f>IF(COUNTBLANK(G19:K19)=5,"",IF(COUNTIF(G19:K19,"No")&gt;0,"EXCLUDE","INCLUDE"))</f>
        <v/>
      </c>
      <c r="M19" s="11" t="str">
        <f>IF(L19&lt;&gt;"EXCLUDE","",IF(G19="No","Wrong domain (non-AECO)",IF(H19="No","Digital Twin not core / buzzword",IF(I19="No","No Design for Safety/Quality/PtD",IF(J19="No","Wrong publication type",IF(K19="No","Non-English",""))))))</f>
        <v/>
      </c>
      <c r="N19" s="12"/>
      <c r="O19" s="12"/>
      <c r="P19" s="13"/>
      <c r="Q19" s="13"/>
      <c r="R19" s="13"/>
      <c r="S19" s="11" t="str">
        <f>IF(N19&lt;&gt;"Yes","",IF(COUNTBLANK(P19:R19)=3,"",IF(COUNTIF(P19:R19,"No")&gt;0,"EXCLUDE","INCLUDE")))</f>
        <v/>
      </c>
      <c r="T19" s="11" t="str">
        <f>IF(S19&lt;&gt;"EXCLUDE","",IF(P19="No","Digital Twin mentioned only, not the subject",IF(Q19="No","No Design for Safety/Quality in full text",IF(R19="No","Methodology not codable",""))))</f>
        <v/>
      </c>
      <c r="U19" s="14"/>
      <c r="V19" s="14"/>
      <c r="W19" s="14"/>
      <c r="X19" s="14"/>
      <c r="Y19" s="11" t="str">
        <f>IF(SUM(V19:X19)=0,"",IF(SUM(V19:X19)&gt;=2,"Multi","Single"))</f>
        <v/>
      </c>
      <c r="Z19" s="14"/>
      <c r="AA19" s="14"/>
      <c r="AB19" s="14"/>
      <c r="AC19" s="14"/>
      <c r="AD19" s="14"/>
      <c r="AE19" s="14"/>
      <c r="AF19" s="14"/>
      <c r="AG19" s="15"/>
    </row>
    <row r="20" spans="1:33">
      <c r="A20" s="8" t="s">
        <v>144</v>
      </c>
      <c r="B20" s="9"/>
      <c r="C20" s="8"/>
      <c r="D20" s="9"/>
      <c r="E20" s="9"/>
      <c r="F20" s="8"/>
      <c r="G20" s="10"/>
      <c r="H20" s="10"/>
      <c r="I20" s="10"/>
      <c r="J20" s="10"/>
      <c r="K20" s="10"/>
      <c r="L20" s="11" t="str">
        <f>IF(COUNTBLANK(G20:K20)=5,"",IF(COUNTIF(G20:K20,"No")&gt;0,"EXCLUDE","INCLUDE"))</f>
        <v/>
      </c>
      <c r="M20" s="11" t="str">
        <f>IF(L20&lt;&gt;"EXCLUDE","",IF(G20="No","Wrong domain (non-AECO)",IF(H20="No","Digital Twin not core / buzzword",IF(I20="No","No Design for Safety/Quality/PtD",IF(J20="No","Wrong publication type",IF(K20="No","Non-English",""))))))</f>
        <v/>
      </c>
      <c r="N20" s="12"/>
      <c r="O20" s="12"/>
      <c r="P20" s="13"/>
      <c r="Q20" s="13"/>
      <c r="R20" s="13"/>
      <c r="S20" s="11" t="str">
        <f>IF(N20&lt;&gt;"Yes","",IF(COUNTBLANK(P20:R20)=3,"",IF(COUNTIF(P20:R20,"No")&gt;0,"EXCLUDE","INCLUDE")))</f>
        <v/>
      </c>
      <c r="T20" s="11" t="str">
        <f>IF(S20&lt;&gt;"EXCLUDE","",IF(P20="No","Digital Twin mentioned only, not the subject",IF(Q20="No","No Design for Safety/Quality in full text",IF(R20="No","Methodology not codable",""))))</f>
        <v/>
      </c>
      <c r="U20" s="14"/>
      <c r="V20" s="14"/>
      <c r="W20" s="14"/>
      <c r="X20" s="14"/>
      <c r="Y20" s="11" t="str">
        <f>IF(SUM(V20:X20)=0,"",IF(SUM(V20:X20)&gt;=2,"Multi","Single"))</f>
        <v/>
      </c>
      <c r="Z20" s="14"/>
      <c r="AA20" s="14"/>
      <c r="AB20" s="14"/>
      <c r="AC20" s="14"/>
      <c r="AD20" s="14"/>
      <c r="AE20" s="14"/>
      <c r="AF20" s="14"/>
      <c r="AG20" s="15"/>
    </row>
    <row r="21" spans="1:33">
      <c r="A21" s="8" t="s">
        <v>145</v>
      </c>
      <c r="B21" s="9"/>
      <c r="C21" s="8"/>
      <c r="D21" s="9"/>
      <c r="E21" s="9"/>
      <c r="F21" s="8"/>
      <c r="G21" s="10"/>
      <c r="H21" s="10"/>
      <c r="I21" s="10"/>
      <c r="J21" s="10"/>
      <c r="K21" s="10"/>
      <c r="L21" s="11" t="str">
        <f>IF(COUNTBLANK(G21:K21)=5,"",IF(COUNTIF(G21:K21,"No")&gt;0,"EXCLUDE","INCLUDE"))</f>
        <v/>
      </c>
      <c r="M21" s="11" t="str">
        <f>IF(L21&lt;&gt;"EXCLUDE","",IF(G21="No","Wrong domain (non-AECO)",IF(H21="No","Digital Twin not core / buzzword",IF(I21="No","No Design for Safety/Quality/PtD",IF(J21="No","Wrong publication type",IF(K21="No","Non-English",""))))))</f>
        <v/>
      </c>
      <c r="N21" s="12"/>
      <c r="O21" s="12"/>
      <c r="P21" s="13"/>
      <c r="Q21" s="13"/>
      <c r="R21" s="13"/>
      <c r="S21" s="11" t="str">
        <f>IF(N21&lt;&gt;"Yes","",IF(COUNTBLANK(P21:R21)=3,"",IF(COUNTIF(P21:R21,"No")&gt;0,"EXCLUDE","INCLUDE")))</f>
        <v/>
      </c>
      <c r="T21" s="11" t="str">
        <f>IF(S21&lt;&gt;"EXCLUDE","",IF(P21="No","Digital Twin mentioned only, not the subject",IF(Q21="No","No Design for Safety/Quality in full text",IF(R21="No","Methodology not codable",""))))</f>
        <v/>
      </c>
      <c r="U21" s="14"/>
      <c r="V21" s="14"/>
      <c r="W21" s="14"/>
      <c r="X21" s="14"/>
      <c r="Y21" s="11" t="str">
        <f>IF(SUM(V21:X21)=0,"",IF(SUM(V21:X21)&gt;=2,"Multi","Single"))</f>
        <v/>
      </c>
      <c r="Z21" s="14"/>
      <c r="AA21" s="14"/>
      <c r="AB21" s="14"/>
      <c r="AC21" s="14"/>
      <c r="AD21" s="14"/>
      <c r="AE21" s="14"/>
      <c r="AF21" s="14"/>
      <c r="AG21" s="15"/>
    </row>
    <row r="22" spans="1:33">
      <c r="A22" s="8" t="s">
        <v>146</v>
      </c>
      <c r="B22" s="9"/>
      <c r="C22" s="8"/>
      <c r="D22" s="9"/>
      <c r="E22" s="9"/>
      <c r="F22" s="8"/>
      <c r="G22" s="10"/>
      <c r="H22" s="10"/>
      <c r="I22" s="10"/>
      <c r="J22" s="10"/>
      <c r="K22" s="10"/>
      <c r="L22" s="11" t="str">
        <f>IF(COUNTBLANK(G22:K22)=5,"",IF(COUNTIF(G22:K22,"No")&gt;0,"EXCLUDE","INCLUDE"))</f>
        <v/>
      </c>
      <c r="M22" s="11" t="str">
        <f>IF(L22&lt;&gt;"EXCLUDE","",IF(G22="No","Wrong domain (non-AECO)",IF(H22="No","Digital Twin not core / buzzword",IF(I22="No","No Design for Safety/Quality/PtD",IF(J22="No","Wrong publication type",IF(K22="No","Non-English",""))))))</f>
        <v/>
      </c>
      <c r="N22" s="12"/>
      <c r="O22" s="12"/>
      <c r="P22" s="13"/>
      <c r="Q22" s="13"/>
      <c r="R22" s="13"/>
      <c r="S22" s="11" t="str">
        <f>IF(N22&lt;&gt;"Yes","",IF(COUNTBLANK(P22:R22)=3,"",IF(COUNTIF(P22:R22,"No")&gt;0,"EXCLUDE","INCLUDE")))</f>
        <v/>
      </c>
      <c r="T22" s="11" t="str">
        <f>IF(S22&lt;&gt;"EXCLUDE","",IF(P22="No","Digital Twin mentioned only, not the subject",IF(Q22="No","No Design for Safety/Quality in full text",IF(R22="No","Methodology not codable",""))))</f>
        <v/>
      </c>
      <c r="U22" s="14"/>
      <c r="V22" s="14"/>
      <c r="W22" s="14"/>
      <c r="X22" s="14"/>
      <c r="Y22" s="11" t="str">
        <f>IF(SUM(V22:X22)=0,"",IF(SUM(V22:X22)&gt;=2,"Multi","Single"))</f>
        <v/>
      </c>
      <c r="Z22" s="14"/>
      <c r="AA22" s="14"/>
      <c r="AB22" s="14"/>
      <c r="AC22" s="14"/>
      <c r="AD22" s="14"/>
      <c r="AE22" s="14"/>
      <c r="AF22" s="14"/>
      <c r="AG22" s="15"/>
    </row>
    <row r="23" spans="1:33">
      <c r="A23" s="8" t="s">
        <v>147</v>
      </c>
      <c r="B23" s="9"/>
      <c r="C23" s="8"/>
      <c r="D23" s="9"/>
      <c r="E23" s="9"/>
      <c r="F23" s="8"/>
      <c r="G23" s="10"/>
      <c r="H23" s="10"/>
      <c r="I23" s="10"/>
      <c r="J23" s="10"/>
      <c r="K23" s="10"/>
      <c r="L23" s="11" t="str">
        <f>IF(COUNTBLANK(G23:K23)=5,"",IF(COUNTIF(G23:K23,"No")&gt;0,"EXCLUDE","INCLUDE"))</f>
        <v/>
      </c>
      <c r="M23" s="11" t="str">
        <f>IF(L23&lt;&gt;"EXCLUDE","",IF(G23="No","Wrong domain (non-AECO)",IF(H23="No","Digital Twin not core / buzzword",IF(I23="No","No Design for Safety/Quality/PtD",IF(J23="No","Wrong publication type",IF(K23="No","Non-English",""))))))</f>
        <v/>
      </c>
      <c r="N23" s="12"/>
      <c r="O23" s="12"/>
      <c r="P23" s="13"/>
      <c r="Q23" s="13"/>
      <c r="R23" s="13"/>
      <c r="S23" s="11" t="str">
        <f>IF(N23&lt;&gt;"Yes","",IF(COUNTBLANK(P23:R23)=3,"",IF(COUNTIF(P23:R23,"No")&gt;0,"EXCLUDE","INCLUDE")))</f>
        <v/>
      </c>
      <c r="T23" s="11" t="str">
        <f>IF(S23&lt;&gt;"EXCLUDE","",IF(P23="No","Digital Twin mentioned only, not the subject",IF(Q23="No","No Design for Safety/Quality in full text",IF(R23="No","Methodology not codable",""))))</f>
        <v/>
      </c>
      <c r="U23" s="14"/>
      <c r="V23" s="14"/>
      <c r="W23" s="14"/>
      <c r="X23" s="14"/>
      <c r="Y23" s="11" t="str">
        <f>IF(SUM(V23:X23)=0,"",IF(SUM(V23:X23)&gt;=2,"Multi","Single"))</f>
        <v/>
      </c>
      <c r="Z23" s="14"/>
      <c r="AA23" s="14"/>
      <c r="AB23" s="14"/>
      <c r="AC23" s="14"/>
      <c r="AD23" s="14"/>
      <c r="AE23" s="14"/>
      <c r="AF23" s="14"/>
      <c r="AG23" s="15"/>
    </row>
    <row r="24" spans="1:33">
      <c r="A24" s="8" t="s">
        <v>148</v>
      </c>
      <c r="B24" s="9"/>
      <c r="C24" s="8"/>
      <c r="D24" s="9"/>
      <c r="E24" s="9"/>
      <c r="F24" s="8"/>
      <c r="G24" s="10"/>
      <c r="H24" s="10"/>
      <c r="I24" s="10"/>
      <c r="J24" s="10"/>
      <c r="K24" s="10"/>
      <c r="L24" s="11" t="str">
        <f>IF(COUNTBLANK(G24:K24)=5,"",IF(COUNTIF(G24:K24,"No")&gt;0,"EXCLUDE","INCLUDE"))</f>
        <v/>
      </c>
      <c r="M24" s="11" t="str">
        <f>IF(L24&lt;&gt;"EXCLUDE","",IF(G24="No","Wrong domain (non-AECO)",IF(H24="No","Digital Twin not core / buzzword",IF(I24="No","No Design for Safety/Quality/PtD",IF(J24="No","Wrong publication type",IF(K24="No","Non-English",""))))))</f>
        <v/>
      </c>
      <c r="N24" s="12"/>
      <c r="O24" s="12"/>
      <c r="P24" s="13"/>
      <c r="Q24" s="13"/>
      <c r="R24" s="13"/>
      <c r="S24" s="11" t="str">
        <f>IF(N24&lt;&gt;"Yes","",IF(COUNTBLANK(P24:R24)=3,"",IF(COUNTIF(P24:R24,"No")&gt;0,"EXCLUDE","INCLUDE")))</f>
        <v/>
      </c>
      <c r="T24" s="11" t="str">
        <f>IF(S24&lt;&gt;"EXCLUDE","",IF(P24="No","Digital Twin mentioned only, not the subject",IF(Q24="No","No Design for Safety/Quality in full text",IF(R24="No","Methodology not codable",""))))</f>
        <v/>
      </c>
      <c r="U24" s="14"/>
      <c r="V24" s="14"/>
      <c r="W24" s="14"/>
      <c r="X24" s="14"/>
      <c r="Y24" s="11" t="str">
        <f>IF(SUM(V24:X24)=0,"",IF(SUM(V24:X24)&gt;=2,"Multi","Single"))</f>
        <v/>
      </c>
      <c r="Z24" s="14"/>
      <c r="AA24" s="14"/>
      <c r="AB24" s="14"/>
      <c r="AC24" s="14"/>
      <c r="AD24" s="14"/>
      <c r="AE24" s="14"/>
      <c r="AF24" s="14"/>
      <c r="AG24" s="15"/>
    </row>
    <row r="25" spans="1:33">
      <c r="A25" s="8" t="s">
        <v>149</v>
      </c>
      <c r="B25" s="9"/>
      <c r="C25" s="8"/>
      <c r="D25" s="9"/>
      <c r="E25" s="9"/>
      <c r="F25" s="8"/>
      <c r="G25" s="10"/>
      <c r="H25" s="10"/>
      <c r="I25" s="10"/>
      <c r="J25" s="10"/>
      <c r="K25" s="10"/>
      <c r="L25" s="11" t="str">
        <f>IF(COUNTBLANK(G25:K25)=5,"",IF(COUNTIF(G25:K25,"No")&gt;0,"EXCLUDE","INCLUDE"))</f>
        <v/>
      </c>
      <c r="M25" s="11" t="str">
        <f>IF(L25&lt;&gt;"EXCLUDE","",IF(G25="No","Wrong domain (non-AECO)",IF(H25="No","Digital Twin not core / buzzword",IF(I25="No","No Design for Safety/Quality/PtD",IF(J25="No","Wrong publication type",IF(K25="No","Non-English",""))))))</f>
        <v/>
      </c>
      <c r="N25" s="12"/>
      <c r="O25" s="12"/>
      <c r="P25" s="13"/>
      <c r="Q25" s="13"/>
      <c r="R25" s="13"/>
      <c r="S25" s="11" t="str">
        <f>IF(N25&lt;&gt;"Yes","",IF(COUNTBLANK(P25:R25)=3,"",IF(COUNTIF(P25:R25,"No")&gt;0,"EXCLUDE","INCLUDE")))</f>
        <v/>
      </c>
      <c r="T25" s="11" t="str">
        <f>IF(S25&lt;&gt;"EXCLUDE","",IF(P25="No","Digital Twin mentioned only, not the subject",IF(Q25="No","No Design for Safety/Quality in full text",IF(R25="No","Methodology not codable",""))))</f>
        <v/>
      </c>
      <c r="U25" s="14"/>
      <c r="V25" s="14"/>
      <c r="W25" s="14"/>
      <c r="X25" s="14"/>
      <c r="Y25" s="11" t="str">
        <f>IF(SUM(V25:X25)=0,"",IF(SUM(V25:X25)&gt;=2,"Multi","Single"))</f>
        <v/>
      </c>
      <c r="Z25" s="14"/>
      <c r="AA25" s="14"/>
      <c r="AB25" s="14"/>
      <c r="AC25" s="14"/>
      <c r="AD25" s="14"/>
      <c r="AE25" s="14"/>
      <c r="AF25" s="14"/>
      <c r="AG25" s="15"/>
    </row>
    <row r="26" spans="1:33">
      <c r="A26" s="8" t="s">
        <v>150</v>
      </c>
      <c r="B26" s="9"/>
      <c r="C26" s="8"/>
      <c r="D26" s="9"/>
      <c r="E26" s="9"/>
      <c r="F26" s="8"/>
      <c r="G26" s="10"/>
      <c r="H26" s="10"/>
      <c r="I26" s="10"/>
      <c r="J26" s="10"/>
      <c r="K26" s="10"/>
      <c r="L26" s="11" t="str">
        <f>IF(COUNTBLANK(G26:K26)=5,"",IF(COUNTIF(G26:K26,"No")&gt;0,"EXCLUDE","INCLUDE"))</f>
        <v/>
      </c>
      <c r="M26" s="11" t="str">
        <f>IF(L26&lt;&gt;"EXCLUDE","",IF(G26="No","Wrong domain (non-AECO)",IF(H26="No","Digital Twin not core / buzzword",IF(I26="No","No Design for Safety/Quality/PtD",IF(J26="No","Wrong publication type",IF(K26="No","Non-English",""))))))</f>
        <v/>
      </c>
      <c r="N26" s="12"/>
      <c r="O26" s="12"/>
      <c r="P26" s="13"/>
      <c r="Q26" s="13"/>
      <c r="R26" s="13"/>
      <c r="S26" s="11" t="str">
        <f>IF(N26&lt;&gt;"Yes","",IF(COUNTBLANK(P26:R26)=3,"",IF(COUNTIF(P26:R26,"No")&gt;0,"EXCLUDE","INCLUDE")))</f>
        <v/>
      </c>
      <c r="T26" s="11" t="str">
        <f>IF(S26&lt;&gt;"EXCLUDE","",IF(P26="No","Digital Twin mentioned only, not the subject",IF(Q26="No","No Design for Safety/Quality in full text",IF(R26="No","Methodology not codable",""))))</f>
        <v/>
      </c>
      <c r="U26" s="14"/>
      <c r="V26" s="14"/>
      <c r="W26" s="14"/>
      <c r="X26" s="14"/>
      <c r="Y26" s="11" t="str">
        <f>IF(SUM(V26:X26)=0,"",IF(SUM(V26:X26)&gt;=2,"Multi","Single"))</f>
        <v/>
      </c>
      <c r="Z26" s="14"/>
      <c r="AA26" s="14"/>
      <c r="AB26" s="14"/>
      <c r="AC26" s="14"/>
      <c r="AD26" s="14"/>
      <c r="AE26" s="14"/>
      <c r="AF26" s="14"/>
      <c r="AG26" s="15"/>
    </row>
    <row r="27" spans="1:33">
      <c r="A27" s="8" t="s">
        <v>151</v>
      </c>
      <c r="B27" s="9"/>
      <c r="C27" s="8"/>
      <c r="D27" s="9"/>
      <c r="E27" s="9"/>
      <c r="F27" s="8"/>
      <c r="G27" s="10"/>
      <c r="H27" s="10"/>
      <c r="I27" s="10"/>
      <c r="J27" s="10"/>
      <c r="K27" s="10"/>
      <c r="L27" s="11" t="str">
        <f>IF(COUNTBLANK(G27:K27)=5,"",IF(COUNTIF(G27:K27,"No")&gt;0,"EXCLUDE","INCLUDE"))</f>
        <v/>
      </c>
      <c r="M27" s="11" t="str">
        <f>IF(L27&lt;&gt;"EXCLUDE","",IF(G27="No","Wrong domain (non-AECO)",IF(H27="No","Digital Twin not core / buzzword",IF(I27="No","No Design for Safety/Quality/PtD",IF(J27="No","Wrong publication type",IF(K27="No","Non-English",""))))))</f>
        <v/>
      </c>
      <c r="N27" s="12"/>
      <c r="O27" s="12"/>
      <c r="P27" s="13"/>
      <c r="Q27" s="13"/>
      <c r="R27" s="13"/>
      <c r="S27" s="11" t="str">
        <f>IF(N27&lt;&gt;"Yes","",IF(COUNTBLANK(P27:R27)=3,"",IF(COUNTIF(P27:R27,"No")&gt;0,"EXCLUDE","INCLUDE")))</f>
        <v/>
      </c>
      <c r="T27" s="11" t="str">
        <f>IF(S27&lt;&gt;"EXCLUDE","",IF(P27="No","Digital Twin mentioned only, not the subject",IF(Q27="No","No Design for Safety/Quality in full text",IF(R27="No","Methodology not codable",""))))</f>
        <v/>
      </c>
      <c r="U27" s="14"/>
      <c r="V27" s="14"/>
      <c r="W27" s="14"/>
      <c r="X27" s="14"/>
      <c r="Y27" s="11" t="str">
        <f>IF(SUM(V27:X27)=0,"",IF(SUM(V27:X27)&gt;=2,"Multi","Single"))</f>
        <v/>
      </c>
      <c r="Z27" s="14"/>
      <c r="AA27" s="14"/>
      <c r="AB27" s="14"/>
      <c r="AC27" s="14"/>
      <c r="AD27" s="14"/>
      <c r="AE27" s="14"/>
      <c r="AF27" s="14"/>
      <c r="AG27" s="15"/>
    </row>
    <row r="28" spans="1:33">
      <c r="A28" s="8" t="s">
        <v>152</v>
      </c>
      <c r="B28" s="9"/>
      <c r="C28" s="8"/>
      <c r="D28" s="9"/>
      <c r="E28" s="9"/>
      <c r="F28" s="8"/>
      <c r="G28" s="10"/>
      <c r="H28" s="10"/>
      <c r="I28" s="10"/>
      <c r="J28" s="10"/>
      <c r="K28" s="10"/>
      <c r="L28" s="11" t="str">
        <f>IF(COUNTBLANK(G28:K28)=5,"",IF(COUNTIF(G28:K28,"No")&gt;0,"EXCLUDE","INCLUDE"))</f>
        <v/>
      </c>
      <c r="M28" s="11" t="str">
        <f>IF(L28&lt;&gt;"EXCLUDE","",IF(G28="No","Wrong domain (non-AECO)",IF(H28="No","Digital Twin not core / buzzword",IF(I28="No","No Design for Safety/Quality/PtD",IF(J28="No","Wrong publication type",IF(K28="No","Non-English",""))))))</f>
        <v/>
      </c>
      <c r="N28" s="12"/>
      <c r="O28" s="12"/>
      <c r="P28" s="13"/>
      <c r="Q28" s="13"/>
      <c r="R28" s="13"/>
      <c r="S28" s="11" t="str">
        <f>IF(N28&lt;&gt;"Yes","",IF(COUNTBLANK(P28:R28)=3,"",IF(COUNTIF(P28:R28,"No")&gt;0,"EXCLUDE","INCLUDE")))</f>
        <v/>
      </c>
      <c r="T28" s="11" t="str">
        <f>IF(S28&lt;&gt;"EXCLUDE","",IF(P28="No","Digital Twin mentioned only, not the subject",IF(Q28="No","No Design for Safety/Quality in full text",IF(R28="No","Methodology not codable",""))))</f>
        <v/>
      </c>
      <c r="U28" s="14"/>
      <c r="V28" s="14"/>
      <c r="W28" s="14"/>
      <c r="X28" s="14"/>
      <c r="Y28" s="11" t="str">
        <f>IF(SUM(V28:X28)=0,"",IF(SUM(V28:X28)&gt;=2,"Multi","Single"))</f>
        <v/>
      </c>
      <c r="Z28" s="14"/>
      <c r="AA28" s="14"/>
      <c r="AB28" s="14"/>
      <c r="AC28" s="14"/>
      <c r="AD28" s="14"/>
      <c r="AE28" s="14"/>
      <c r="AF28" s="14"/>
      <c r="AG28" s="15"/>
    </row>
    <row r="29" spans="1:33">
      <c r="A29" s="8" t="s">
        <v>153</v>
      </c>
      <c r="B29" s="9"/>
      <c r="C29" s="8"/>
      <c r="D29" s="9"/>
      <c r="E29" s="9"/>
      <c r="F29" s="8"/>
      <c r="G29" s="10"/>
      <c r="H29" s="10"/>
      <c r="I29" s="10"/>
      <c r="J29" s="10"/>
      <c r="K29" s="10"/>
      <c r="L29" s="11" t="str">
        <f>IF(COUNTBLANK(G29:K29)=5,"",IF(COUNTIF(G29:K29,"No")&gt;0,"EXCLUDE","INCLUDE"))</f>
        <v/>
      </c>
      <c r="M29" s="11" t="str">
        <f>IF(L29&lt;&gt;"EXCLUDE","",IF(G29="No","Wrong domain (non-AECO)",IF(H29="No","Digital Twin not core / buzzword",IF(I29="No","No Design for Safety/Quality/PtD",IF(J29="No","Wrong publication type",IF(K29="No","Non-English",""))))))</f>
        <v/>
      </c>
      <c r="N29" s="12"/>
      <c r="O29" s="12"/>
      <c r="P29" s="13"/>
      <c r="Q29" s="13"/>
      <c r="R29" s="13"/>
      <c r="S29" s="11" t="str">
        <f>IF(N29&lt;&gt;"Yes","",IF(COUNTBLANK(P29:R29)=3,"",IF(COUNTIF(P29:R29,"No")&gt;0,"EXCLUDE","INCLUDE")))</f>
        <v/>
      </c>
      <c r="T29" s="11" t="str">
        <f>IF(S29&lt;&gt;"EXCLUDE","",IF(P29="No","Digital Twin mentioned only, not the subject",IF(Q29="No","No Design for Safety/Quality in full text",IF(R29="No","Methodology not codable",""))))</f>
        <v/>
      </c>
      <c r="U29" s="14"/>
      <c r="V29" s="14"/>
      <c r="W29" s="14"/>
      <c r="X29" s="14"/>
      <c r="Y29" s="11" t="str">
        <f>IF(SUM(V29:X29)=0,"",IF(SUM(V29:X29)&gt;=2,"Multi","Single"))</f>
        <v/>
      </c>
      <c r="Z29" s="14"/>
      <c r="AA29" s="14"/>
      <c r="AB29" s="14"/>
      <c r="AC29" s="14"/>
      <c r="AD29" s="14"/>
      <c r="AE29" s="14"/>
      <c r="AF29" s="14"/>
      <c r="AG29" s="15"/>
    </row>
    <row r="30" spans="1:33">
      <c r="A30" s="8" t="s">
        <v>154</v>
      </c>
      <c r="B30" s="9"/>
      <c r="C30" s="8"/>
      <c r="D30" s="9"/>
      <c r="E30" s="9"/>
      <c r="F30" s="8"/>
      <c r="G30" s="10"/>
      <c r="H30" s="10"/>
      <c r="I30" s="10"/>
      <c r="J30" s="10"/>
      <c r="K30" s="10"/>
      <c r="L30" s="11" t="str">
        <f>IF(COUNTBLANK(G30:K30)=5,"",IF(COUNTIF(G30:K30,"No")&gt;0,"EXCLUDE","INCLUDE"))</f>
        <v/>
      </c>
      <c r="M30" s="11" t="str">
        <f>IF(L30&lt;&gt;"EXCLUDE","",IF(G30="No","Wrong domain (non-AECO)",IF(H30="No","Digital Twin not core / buzzword",IF(I30="No","No Design for Safety/Quality/PtD",IF(J30="No","Wrong publication type",IF(K30="No","Non-English",""))))))</f>
        <v/>
      </c>
      <c r="N30" s="12"/>
      <c r="O30" s="12"/>
      <c r="P30" s="13"/>
      <c r="Q30" s="13"/>
      <c r="R30" s="13"/>
      <c r="S30" s="11" t="str">
        <f>IF(N30&lt;&gt;"Yes","",IF(COUNTBLANK(P30:R30)=3,"",IF(COUNTIF(P30:R30,"No")&gt;0,"EXCLUDE","INCLUDE")))</f>
        <v/>
      </c>
      <c r="T30" s="11" t="str">
        <f>IF(S30&lt;&gt;"EXCLUDE","",IF(P30="No","Digital Twin mentioned only, not the subject",IF(Q30="No","No Design for Safety/Quality in full text",IF(R30="No","Methodology not codable",""))))</f>
        <v/>
      </c>
      <c r="U30" s="14"/>
      <c r="V30" s="14"/>
      <c r="W30" s="14"/>
      <c r="X30" s="14"/>
      <c r="Y30" s="11" t="str">
        <f>IF(SUM(V30:X30)=0,"",IF(SUM(V30:X30)&gt;=2,"Multi","Single"))</f>
        <v/>
      </c>
      <c r="Z30" s="14"/>
      <c r="AA30" s="14"/>
      <c r="AB30" s="14"/>
      <c r="AC30" s="14"/>
      <c r="AD30" s="14"/>
      <c r="AE30" s="14"/>
      <c r="AF30" s="14"/>
      <c r="AG30" s="15"/>
    </row>
    <row r="31" spans="1:33">
      <c r="A31" s="8" t="s">
        <v>155</v>
      </c>
      <c r="B31" s="9"/>
      <c r="C31" s="8"/>
      <c r="D31" s="9"/>
      <c r="E31" s="9"/>
      <c r="F31" s="8"/>
      <c r="G31" s="10"/>
      <c r="H31" s="10"/>
      <c r="I31" s="10"/>
      <c r="J31" s="10"/>
      <c r="K31" s="10"/>
      <c r="L31" s="11" t="str">
        <f>IF(COUNTBLANK(G31:K31)=5,"",IF(COUNTIF(G31:K31,"No")&gt;0,"EXCLUDE","INCLUDE"))</f>
        <v/>
      </c>
      <c r="M31" s="11" t="str">
        <f>IF(L31&lt;&gt;"EXCLUDE","",IF(G31="No","Wrong domain (non-AECO)",IF(H31="No","Digital Twin not core / buzzword",IF(I31="No","No Design for Safety/Quality/PtD",IF(J31="No","Wrong publication type",IF(K31="No","Non-English",""))))))</f>
        <v/>
      </c>
      <c r="N31" s="12"/>
      <c r="O31" s="12"/>
      <c r="P31" s="13"/>
      <c r="Q31" s="13"/>
      <c r="R31" s="13"/>
      <c r="S31" s="11" t="str">
        <f>IF(N31&lt;&gt;"Yes","",IF(COUNTBLANK(P31:R31)=3,"",IF(COUNTIF(P31:R31,"No")&gt;0,"EXCLUDE","INCLUDE")))</f>
        <v/>
      </c>
      <c r="T31" s="11" t="str">
        <f>IF(S31&lt;&gt;"EXCLUDE","",IF(P31="No","Digital Twin mentioned only, not the subject",IF(Q31="No","No Design for Safety/Quality in full text",IF(R31="No","Methodology not codable",""))))</f>
        <v/>
      </c>
      <c r="U31" s="14"/>
      <c r="V31" s="14"/>
      <c r="W31" s="14"/>
      <c r="X31" s="14"/>
      <c r="Y31" s="11" t="str">
        <f>IF(SUM(V31:X31)=0,"",IF(SUM(V31:X31)&gt;=2,"Multi","Single"))</f>
        <v/>
      </c>
      <c r="Z31" s="14"/>
      <c r="AA31" s="14"/>
      <c r="AB31" s="14"/>
      <c r="AC31" s="14"/>
      <c r="AD31" s="14"/>
      <c r="AE31" s="14"/>
      <c r="AF31" s="14"/>
      <c r="AG31" s="15"/>
    </row>
    <row r="32" spans="1:33">
      <c r="A32" s="8" t="s">
        <v>156</v>
      </c>
      <c r="B32" s="9"/>
      <c r="C32" s="8"/>
      <c r="D32" s="9"/>
      <c r="E32" s="9"/>
      <c r="F32" s="8"/>
      <c r="G32" s="10"/>
      <c r="H32" s="10"/>
      <c r="I32" s="10"/>
      <c r="J32" s="10"/>
      <c r="K32" s="10"/>
      <c r="L32" s="11" t="str">
        <f>IF(COUNTBLANK(G32:K32)=5,"",IF(COUNTIF(G32:K32,"No")&gt;0,"EXCLUDE","INCLUDE"))</f>
        <v/>
      </c>
      <c r="M32" s="11" t="str">
        <f>IF(L32&lt;&gt;"EXCLUDE","",IF(G32="No","Wrong domain (non-AECO)",IF(H32="No","Digital Twin not core / buzzword",IF(I32="No","No Design for Safety/Quality/PtD",IF(J32="No","Wrong publication type",IF(K32="No","Non-English",""))))))</f>
        <v/>
      </c>
      <c r="N32" s="12"/>
      <c r="O32" s="12"/>
      <c r="P32" s="13"/>
      <c r="Q32" s="13"/>
      <c r="R32" s="13"/>
      <c r="S32" s="11" t="str">
        <f>IF(N32&lt;&gt;"Yes","",IF(COUNTBLANK(P32:R32)=3,"",IF(COUNTIF(P32:R32,"No")&gt;0,"EXCLUDE","INCLUDE")))</f>
        <v/>
      </c>
      <c r="T32" s="11" t="str">
        <f>IF(S32&lt;&gt;"EXCLUDE","",IF(P32="No","Digital Twin mentioned only, not the subject",IF(Q32="No","No Design for Safety/Quality in full text",IF(R32="No","Methodology not codable",""))))</f>
        <v/>
      </c>
      <c r="U32" s="14"/>
      <c r="V32" s="14"/>
      <c r="W32" s="14"/>
      <c r="X32" s="14"/>
      <c r="Y32" s="11" t="str">
        <f>IF(SUM(V32:X32)=0,"",IF(SUM(V32:X32)&gt;=2,"Multi","Single"))</f>
        <v/>
      </c>
      <c r="Z32" s="14"/>
      <c r="AA32" s="14"/>
      <c r="AB32" s="14"/>
      <c r="AC32" s="14"/>
      <c r="AD32" s="14"/>
      <c r="AE32" s="14"/>
      <c r="AF32" s="14"/>
      <c r="AG32" s="15"/>
    </row>
    <row r="33" spans="1:33">
      <c r="A33" s="8" t="s">
        <v>157</v>
      </c>
      <c r="B33" s="9"/>
      <c r="C33" s="8"/>
      <c r="D33" s="9"/>
      <c r="E33" s="9"/>
      <c r="F33" s="8"/>
      <c r="G33" s="10"/>
      <c r="H33" s="10"/>
      <c r="I33" s="10"/>
      <c r="J33" s="10"/>
      <c r="K33" s="10"/>
      <c r="L33" s="11" t="str">
        <f>IF(COUNTBLANK(G33:K33)=5,"",IF(COUNTIF(G33:K33,"No")&gt;0,"EXCLUDE","INCLUDE"))</f>
        <v/>
      </c>
      <c r="M33" s="11" t="str">
        <f>IF(L33&lt;&gt;"EXCLUDE","",IF(G33="No","Wrong domain (non-AECO)",IF(H33="No","Digital Twin not core / buzzword",IF(I33="No","No Design for Safety/Quality/PtD",IF(J33="No","Wrong publication type",IF(K33="No","Non-English",""))))))</f>
        <v/>
      </c>
      <c r="N33" s="12"/>
      <c r="O33" s="12"/>
      <c r="P33" s="13"/>
      <c r="Q33" s="13"/>
      <c r="R33" s="13"/>
      <c r="S33" s="11" t="str">
        <f>IF(N33&lt;&gt;"Yes","",IF(COUNTBLANK(P33:R33)=3,"",IF(COUNTIF(P33:R33,"No")&gt;0,"EXCLUDE","INCLUDE")))</f>
        <v/>
      </c>
      <c r="T33" s="11" t="str">
        <f>IF(S33&lt;&gt;"EXCLUDE","",IF(P33="No","Digital Twin mentioned only, not the subject",IF(Q33="No","No Design for Safety/Quality in full text",IF(R33="No","Methodology not codable",""))))</f>
        <v/>
      </c>
      <c r="U33" s="14"/>
      <c r="V33" s="14"/>
      <c r="W33" s="14"/>
      <c r="X33" s="14"/>
      <c r="Y33" s="11" t="str">
        <f>IF(SUM(V33:X33)=0,"",IF(SUM(V33:X33)&gt;=2,"Multi","Single"))</f>
        <v/>
      </c>
      <c r="Z33" s="14"/>
      <c r="AA33" s="14"/>
      <c r="AB33" s="14"/>
      <c r="AC33" s="14"/>
      <c r="AD33" s="14"/>
      <c r="AE33" s="14"/>
      <c r="AF33" s="14"/>
      <c r="AG33" s="15"/>
    </row>
    <row r="34" spans="1:33">
      <c r="A34" s="8" t="s">
        <v>158</v>
      </c>
      <c r="B34" s="9"/>
      <c r="C34" s="8"/>
      <c r="D34" s="9"/>
      <c r="E34" s="9"/>
      <c r="F34" s="8"/>
      <c r="G34" s="10"/>
      <c r="H34" s="10"/>
      <c r="I34" s="10"/>
      <c r="J34" s="10"/>
      <c r="K34" s="10"/>
      <c r="L34" s="11" t="str">
        <f>IF(COUNTBLANK(G34:K34)=5,"",IF(COUNTIF(G34:K34,"No")&gt;0,"EXCLUDE","INCLUDE"))</f>
        <v/>
      </c>
      <c r="M34" s="11" t="str">
        <f>IF(L34&lt;&gt;"EXCLUDE","",IF(G34="No","Wrong domain (non-AECO)",IF(H34="No","Digital Twin not core / buzzword",IF(I34="No","No Design for Safety/Quality/PtD",IF(J34="No","Wrong publication type",IF(K34="No","Non-English",""))))))</f>
        <v/>
      </c>
      <c r="N34" s="12"/>
      <c r="O34" s="12"/>
      <c r="P34" s="13"/>
      <c r="Q34" s="13"/>
      <c r="R34" s="13"/>
      <c r="S34" s="11" t="str">
        <f>IF(N34&lt;&gt;"Yes","",IF(COUNTBLANK(P34:R34)=3,"",IF(COUNTIF(P34:R34,"No")&gt;0,"EXCLUDE","INCLUDE")))</f>
        <v/>
      </c>
      <c r="T34" s="11" t="str">
        <f>IF(S34&lt;&gt;"EXCLUDE","",IF(P34="No","Digital Twin mentioned only, not the subject",IF(Q34="No","No Design for Safety/Quality in full text",IF(R34="No","Methodology not codable",""))))</f>
        <v/>
      </c>
      <c r="U34" s="14"/>
      <c r="V34" s="14"/>
      <c r="W34" s="14"/>
      <c r="X34" s="14"/>
      <c r="Y34" s="11" t="str">
        <f>IF(SUM(V34:X34)=0,"",IF(SUM(V34:X34)&gt;=2,"Multi","Single"))</f>
        <v/>
      </c>
      <c r="Z34" s="14"/>
      <c r="AA34" s="14"/>
      <c r="AB34" s="14"/>
      <c r="AC34" s="14"/>
      <c r="AD34" s="14"/>
      <c r="AE34" s="14"/>
      <c r="AF34" s="14"/>
      <c r="AG34" s="15"/>
    </row>
    <row r="35" spans="1:33">
      <c r="A35" s="8" t="s">
        <v>159</v>
      </c>
      <c r="B35" s="9"/>
      <c r="C35" s="8"/>
      <c r="D35" s="9"/>
      <c r="E35" s="9"/>
      <c r="F35" s="8"/>
      <c r="G35" s="10"/>
      <c r="H35" s="10"/>
      <c r="I35" s="10"/>
      <c r="J35" s="10"/>
      <c r="K35" s="10"/>
      <c r="L35" s="11" t="str">
        <f>IF(COUNTBLANK(G35:K35)=5,"",IF(COUNTIF(G35:K35,"No")&gt;0,"EXCLUDE","INCLUDE"))</f>
        <v/>
      </c>
      <c r="M35" s="11" t="str">
        <f>IF(L35&lt;&gt;"EXCLUDE","",IF(G35="No","Wrong domain (non-AECO)",IF(H35="No","Digital Twin not core / buzzword",IF(I35="No","No Design for Safety/Quality/PtD",IF(J35="No","Wrong publication type",IF(K35="No","Non-English",""))))))</f>
        <v/>
      </c>
      <c r="N35" s="12"/>
      <c r="O35" s="12"/>
      <c r="P35" s="13"/>
      <c r="Q35" s="13"/>
      <c r="R35" s="13"/>
      <c r="S35" s="11" t="str">
        <f>IF(N35&lt;&gt;"Yes","",IF(COUNTBLANK(P35:R35)=3,"",IF(COUNTIF(P35:R35,"No")&gt;0,"EXCLUDE","INCLUDE")))</f>
        <v/>
      </c>
      <c r="T35" s="11" t="str">
        <f>IF(S35&lt;&gt;"EXCLUDE","",IF(P35="No","Digital Twin mentioned only, not the subject",IF(Q35="No","No Design for Safety/Quality in full text",IF(R35="No","Methodology not codable",""))))</f>
        <v/>
      </c>
      <c r="U35" s="14"/>
      <c r="V35" s="14"/>
      <c r="W35" s="14"/>
      <c r="X35" s="14"/>
      <c r="Y35" s="11" t="str">
        <f>IF(SUM(V35:X35)=0,"",IF(SUM(V35:X35)&gt;=2,"Multi","Single"))</f>
        <v/>
      </c>
      <c r="Z35" s="14"/>
      <c r="AA35" s="14"/>
      <c r="AB35" s="14"/>
      <c r="AC35" s="14"/>
      <c r="AD35" s="14"/>
      <c r="AE35" s="14"/>
      <c r="AF35" s="14"/>
      <c r="AG35" s="15"/>
    </row>
    <row r="36" spans="1:33">
      <c r="A36" s="8" t="s">
        <v>160</v>
      </c>
      <c r="B36" s="9"/>
      <c r="C36" s="8"/>
      <c r="D36" s="9"/>
      <c r="E36" s="9"/>
      <c r="F36" s="8"/>
      <c r="G36" s="10"/>
      <c r="H36" s="10"/>
      <c r="I36" s="10"/>
      <c r="J36" s="10"/>
      <c r="K36" s="10"/>
      <c r="L36" s="11" t="str">
        <f>IF(COUNTBLANK(G36:K36)=5,"",IF(COUNTIF(G36:K36,"No")&gt;0,"EXCLUDE","INCLUDE"))</f>
        <v/>
      </c>
      <c r="M36" s="11" t="str">
        <f>IF(L36&lt;&gt;"EXCLUDE","",IF(G36="No","Wrong domain (non-AECO)",IF(H36="No","Digital Twin not core / buzzword",IF(I36="No","No Design for Safety/Quality/PtD",IF(J36="No","Wrong publication type",IF(K36="No","Non-English",""))))))</f>
        <v/>
      </c>
      <c r="N36" s="12"/>
      <c r="O36" s="12"/>
      <c r="P36" s="13"/>
      <c r="Q36" s="13"/>
      <c r="R36" s="13"/>
      <c r="S36" s="11" t="str">
        <f>IF(N36&lt;&gt;"Yes","",IF(COUNTBLANK(P36:R36)=3,"",IF(COUNTIF(P36:R36,"No")&gt;0,"EXCLUDE","INCLUDE")))</f>
        <v/>
      </c>
      <c r="T36" s="11" t="str">
        <f>IF(S36&lt;&gt;"EXCLUDE","",IF(P36="No","Digital Twin mentioned only, not the subject",IF(Q36="No","No Design for Safety/Quality in full text",IF(R36="No","Methodology not codable",""))))</f>
        <v/>
      </c>
      <c r="U36" s="14"/>
      <c r="V36" s="14"/>
      <c r="W36" s="14"/>
      <c r="X36" s="14"/>
      <c r="Y36" s="11" t="str">
        <f>IF(SUM(V36:X36)=0,"",IF(SUM(V36:X36)&gt;=2,"Multi","Single"))</f>
        <v/>
      </c>
      <c r="Z36" s="14"/>
      <c r="AA36" s="14"/>
      <c r="AB36" s="14"/>
      <c r="AC36" s="14"/>
      <c r="AD36" s="14"/>
      <c r="AE36" s="14"/>
      <c r="AF36" s="14"/>
      <c r="AG36" s="15"/>
    </row>
    <row r="37" spans="1:33">
      <c r="A37" s="8" t="s">
        <v>161</v>
      </c>
      <c r="B37" s="9"/>
      <c r="C37" s="8"/>
      <c r="D37" s="9"/>
      <c r="E37" s="9"/>
      <c r="F37" s="8"/>
      <c r="G37" s="10"/>
      <c r="H37" s="10"/>
      <c r="I37" s="10"/>
      <c r="J37" s="10"/>
      <c r="K37" s="10"/>
      <c r="L37" s="11" t="str">
        <f>IF(COUNTBLANK(G37:K37)=5,"",IF(COUNTIF(G37:K37,"No")&gt;0,"EXCLUDE","INCLUDE"))</f>
        <v/>
      </c>
      <c r="M37" s="11" t="str">
        <f>IF(L37&lt;&gt;"EXCLUDE","",IF(G37="No","Wrong domain (non-AECO)",IF(H37="No","Digital Twin not core / buzzword",IF(I37="No","No Design for Safety/Quality/PtD",IF(J37="No","Wrong publication type",IF(K37="No","Non-English",""))))))</f>
        <v/>
      </c>
      <c r="N37" s="12"/>
      <c r="O37" s="12"/>
      <c r="P37" s="13"/>
      <c r="Q37" s="13"/>
      <c r="R37" s="13"/>
      <c r="S37" s="11" t="str">
        <f>IF(N37&lt;&gt;"Yes","",IF(COUNTBLANK(P37:R37)=3,"",IF(COUNTIF(P37:R37,"No")&gt;0,"EXCLUDE","INCLUDE")))</f>
        <v/>
      </c>
      <c r="T37" s="11" t="str">
        <f>IF(S37&lt;&gt;"EXCLUDE","",IF(P37="No","Digital Twin mentioned only, not the subject",IF(Q37="No","No Design for Safety/Quality in full text",IF(R37="No","Methodology not codable",""))))</f>
        <v/>
      </c>
      <c r="U37" s="14"/>
      <c r="V37" s="14"/>
      <c r="W37" s="14"/>
      <c r="X37" s="14"/>
      <c r="Y37" s="11" t="str">
        <f>IF(SUM(V37:X37)=0,"",IF(SUM(V37:X37)&gt;=2,"Multi","Single"))</f>
        <v/>
      </c>
      <c r="Z37" s="14"/>
      <c r="AA37" s="14"/>
      <c r="AB37" s="14"/>
      <c r="AC37" s="14"/>
      <c r="AD37" s="14"/>
      <c r="AE37" s="14"/>
      <c r="AF37" s="14"/>
      <c r="AG37" s="15"/>
    </row>
    <row r="38" spans="1:33">
      <c r="A38" s="8" t="s">
        <v>162</v>
      </c>
      <c r="B38" s="9"/>
      <c r="C38" s="8"/>
      <c r="D38" s="9"/>
      <c r="E38" s="9"/>
      <c r="F38" s="8"/>
      <c r="G38" s="10"/>
      <c r="H38" s="10"/>
      <c r="I38" s="10"/>
      <c r="J38" s="10"/>
      <c r="K38" s="10"/>
      <c r="L38" s="11" t="str">
        <f>IF(COUNTBLANK(G38:K38)=5,"",IF(COUNTIF(G38:K38,"No")&gt;0,"EXCLUDE","INCLUDE"))</f>
        <v/>
      </c>
      <c r="M38" s="11" t="str">
        <f>IF(L38&lt;&gt;"EXCLUDE","",IF(G38="No","Wrong domain (non-AECO)",IF(H38="No","Digital Twin not core / buzzword",IF(I38="No","No Design for Safety/Quality/PtD",IF(J38="No","Wrong publication type",IF(K38="No","Non-English",""))))))</f>
        <v/>
      </c>
      <c r="N38" s="12"/>
      <c r="O38" s="12"/>
      <c r="P38" s="13"/>
      <c r="Q38" s="13"/>
      <c r="R38" s="13"/>
      <c r="S38" s="11" t="str">
        <f>IF(N38&lt;&gt;"Yes","",IF(COUNTBLANK(P38:R38)=3,"",IF(COUNTIF(P38:R38,"No")&gt;0,"EXCLUDE","INCLUDE")))</f>
        <v/>
      </c>
      <c r="T38" s="11" t="str">
        <f>IF(S38&lt;&gt;"EXCLUDE","",IF(P38="No","Digital Twin mentioned only, not the subject",IF(Q38="No","No Design for Safety/Quality in full text",IF(R38="No","Methodology not codable",""))))</f>
        <v/>
      </c>
      <c r="U38" s="14"/>
      <c r="V38" s="14"/>
      <c r="W38" s="14"/>
      <c r="X38" s="14"/>
      <c r="Y38" s="11" t="str">
        <f>IF(SUM(V38:X38)=0,"",IF(SUM(V38:X38)&gt;=2,"Multi","Single"))</f>
        <v/>
      </c>
      <c r="Z38" s="14"/>
      <c r="AA38" s="14"/>
      <c r="AB38" s="14"/>
      <c r="AC38" s="14"/>
      <c r="AD38" s="14"/>
      <c r="AE38" s="14"/>
      <c r="AF38" s="14"/>
      <c r="AG38" s="15"/>
    </row>
    <row r="39" spans="1:33">
      <c r="A39" s="8" t="s">
        <v>163</v>
      </c>
      <c r="B39" s="9"/>
      <c r="C39" s="8"/>
      <c r="D39" s="9"/>
      <c r="E39" s="9"/>
      <c r="F39" s="8"/>
      <c r="G39" s="10"/>
      <c r="H39" s="10"/>
      <c r="I39" s="10"/>
      <c r="J39" s="10"/>
      <c r="K39" s="10"/>
      <c r="L39" s="11" t="str">
        <f>IF(COUNTBLANK(G39:K39)=5,"",IF(COUNTIF(G39:K39,"No")&gt;0,"EXCLUDE","INCLUDE"))</f>
        <v/>
      </c>
      <c r="M39" s="11" t="str">
        <f>IF(L39&lt;&gt;"EXCLUDE","",IF(G39="No","Wrong domain (non-AECO)",IF(H39="No","Digital Twin not core / buzzword",IF(I39="No","No Design for Safety/Quality/PtD",IF(J39="No","Wrong publication type",IF(K39="No","Non-English",""))))))</f>
        <v/>
      </c>
      <c r="N39" s="12"/>
      <c r="O39" s="12"/>
      <c r="P39" s="13"/>
      <c r="Q39" s="13"/>
      <c r="R39" s="13"/>
      <c r="S39" s="11" t="str">
        <f>IF(N39&lt;&gt;"Yes","",IF(COUNTBLANK(P39:R39)=3,"",IF(COUNTIF(P39:R39,"No")&gt;0,"EXCLUDE","INCLUDE")))</f>
        <v/>
      </c>
      <c r="T39" s="11" t="str">
        <f>IF(S39&lt;&gt;"EXCLUDE","",IF(P39="No","Digital Twin mentioned only, not the subject",IF(Q39="No","No Design for Safety/Quality in full text",IF(R39="No","Methodology not codable",""))))</f>
        <v/>
      </c>
      <c r="U39" s="14"/>
      <c r="V39" s="14"/>
      <c r="W39" s="14"/>
      <c r="X39" s="14"/>
      <c r="Y39" s="11" t="str">
        <f>IF(SUM(V39:X39)=0,"",IF(SUM(V39:X39)&gt;=2,"Multi","Single"))</f>
        <v/>
      </c>
      <c r="Z39" s="14"/>
      <c r="AA39" s="14"/>
      <c r="AB39" s="14"/>
      <c r="AC39" s="14"/>
      <c r="AD39" s="14"/>
      <c r="AE39" s="14"/>
      <c r="AF39" s="14"/>
      <c r="AG39" s="15"/>
    </row>
    <row r="40" spans="1:33">
      <c r="A40" s="8" t="s">
        <v>164</v>
      </c>
      <c r="B40" s="9"/>
      <c r="C40" s="8"/>
      <c r="D40" s="9"/>
      <c r="E40" s="9"/>
      <c r="F40" s="8"/>
      <c r="G40" s="10"/>
      <c r="H40" s="10"/>
      <c r="I40" s="10"/>
      <c r="J40" s="10"/>
      <c r="K40" s="10"/>
      <c r="L40" s="11" t="str">
        <f>IF(COUNTBLANK(G40:K40)=5,"",IF(COUNTIF(G40:K40,"No")&gt;0,"EXCLUDE","INCLUDE"))</f>
        <v/>
      </c>
      <c r="M40" s="11" t="str">
        <f>IF(L40&lt;&gt;"EXCLUDE","",IF(G40="No","Wrong domain (non-AECO)",IF(H40="No","Digital Twin not core / buzzword",IF(I40="No","No Design for Safety/Quality/PtD",IF(J40="No","Wrong publication type",IF(K40="No","Non-English",""))))))</f>
        <v/>
      </c>
      <c r="N40" s="12"/>
      <c r="O40" s="12"/>
      <c r="P40" s="13"/>
      <c r="Q40" s="13"/>
      <c r="R40" s="13"/>
      <c r="S40" s="11" t="str">
        <f>IF(N40&lt;&gt;"Yes","",IF(COUNTBLANK(P40:R40)=3,"",IF(COUNTIF(P40:R40,"No")&gt;0,"EXCLUDE","INCLUDE")))</f>
        <v/>
      </c>
      <c r="T40" s="11" t="str">
        <f>IF(S40&lt;&gt;"EXCLUDE","",IF(P40="No","Digital Twin mentioned only, not the subject",IF(Q40="No","No Design for Safety/Quality in full text",IF(R40="No","Methodology not codable",""))))</f>
        <v/>
      </c>
      <c r="U40" s="14"/>
      <c r="V40" s="14"/>
      <c r="W40" s="14"/>
      <c r="X40" s="14"/>
      <c r="Y40" s="11" t="str">
        <f>IF(SUM(V40:X40)=0,"",IF(SUM(V40:X40)&gt;=2,"Multi","Single"))</f>
        <v/>
      </c>
      <c r="Z40" s="14"/>
      <c r="AA40" s="14"/>
      <c r="AB40" s="14"/>
      <c r="AC40" s="14"/>
      <c r="AD40" s="14"/>
      <c r="AE40" s="14"/>
      <c r="AF40" s="14"/>
      <c r="AG40" s="15"/>
    </row>
    <row r="41" spans="1:33">
      <c r="A41" s="8" t="s">
        <v>165</v>
      </c>
      <c r="B41" s="9"/>
      <c r="C41" s="8"/>
      <c r="D41" s="9"/>
      <c r="E41" s="9"/>
      <c r="F41" s="8"/>
      <c r="G41" s="10"/>
      <c r="H41" s="10"/>
      <c r="I41" s="10"/>
      <c r="J41" s="10"/>
      <c r="K41" s="10"/>
      <c r="L41" s="11" t="str">
        <f>IF(COUNTBLANK(G41:K41)=5,"",IF(COUNTIF(G41:K41,"No")&gt;0,"EXCLUDE","INCLUDE"))</f>
        <v/>
      </c>
      <c r="M41" s="11" t="str">
        <f>IF(L41&lt;&gt;"EXCLUDE","",IF(G41="No","Wrong domain (non-AECO)",IF(H41="No","Digital Twin not core / buzzword",IF(I41="No","No Design for Safety/Quality/PtD",IF(J41="No","Wrong publication type",IF(K41="No","Non-English",""))))))</f>
        <v/>
      </c>
      <c r="N41" s="12"/>
      <c r="O41" s="12"/>
      <c r="P41" s="13"/>
      <c r="Q41" s="13"/>
      <c r="R41" s="13"/>
      <c r="S41" s="11" t="str">
        <f>IF(N41&lt;&gt;"Yes","",IF(COUNTBLANK(P41:R41)=3,"",IF(COUNTIF(P41:R41,"No")&gt;0,"EXCLUDE","INCLUDE")))</f>
        <v/>
      </c>
      <c r="T41" s="11" t="str">
        <f>IF(S41&lt;&gt;"EXCLUDE","",IF(P41="No","Digital Twin mentioned only, not the subject",IF(Q41="No","No Design for Safety/Quality in full text",IF(R41="No","Methodology not codable",""))))</f>
        <v/>
      </c>
      <c r="U41" s="14"/>
      <c r="V41" s="14"/>
      <c r="W41" s="14"/>
      <c r="X41" s="14"/>
      <c r="Y41" s="11" t="str">
        <f>IF(SUM(V41:X41)=0,"",IF(SUM(V41:X41)&gt;=2,"Multi","Single"))</f>
        <v/>
      </c>
      <c r="Z41" s="14"/>
      <c r="AA41" s="14"/>
      <c r="AB41" s="14"/>
      <c r="AC41" s="14"/>
      <c r="AD41" s="14"/>
      <c r="AE41" s="14"/>
      <c r="AF41" s="14"/>
      <c r="AG41" s="15"/>
    </row>
    <row r="42" spans="1:33">
      <c r="A42" s="8" t="s">
        <v>166</v>
      </c>
      <c r="B42" s="9"/>
      <c r="C42" s="8"/>
      <c r="D42" s="9"/>
      <c r="E42" s="9"/>
      <c r="F42" s="8"/>
      <c r="G42" s="10"/>
      <c r="H42" s="10"/>
      <c r="I42" s="10"/>
      <c r="J42" s="10"/>
      <c r="K42" s="10"/>
      <c r="L42" s="11" t="str">
        <f>IF(COUNTBLANK(G42:K42)=5,"",IF(COUNTIF(G42:K42,"No")&gt;0,"EXCLUDE","INCLUDE"))</f>
        <v/>
      </c>
      <c r="M42" s="11" t="str">
        <f>IF(L42&lt;&gt;"EXCLUDE","",IF(G42="No","Wrong domain (non-AECO)",IF(H42="No","Digital Twin not core / buzzword",IF(I42="No","No Design for Safety/Quality/PtD",IF(J42="No","Wrong publication type",IF(K42="No","Non-English",""))))))</f>
        <v/>
      </c>
      <c r="N42" s="12"/>
      <c r="O42" s="12"/>
      <c r="P42" s="13"/>
      <c r="Q42" s="13"/>
      <c r="R42" s="13"/>
      <c r="S42" s="11" t="str">
        <f>IF(N42&lt;&gt;"Yes","",IF(COUNTBLANK(P42:R42)=3,"",IF(COUNTIF(P42:R42,"No")&gt;0,"EXCLUDE","INCLUDE")))</f>
        <v/>
      </c>
      <c r="T42" s="11" t="str">
        <f>IF(S42&lt;&gt;"EXCLUDE","",IF(P42="No","Digital Twin mentioned only, not the subject",IF(Q42="No","No Design for Safety/Quality in full text",IF(R42="No","Methodology not codable",""))))</f>
        <v/>
      </c>
      <c r="U42" s="14"/>
      <c r="V42" s="14"/>
      <c r="W42" s="14"/>
      <c r="X42" s="14"/>
      <c r="Y42" s="11" t="str">
        <f>IF(SUM(V42:X42)=0,"",IF(SUM(V42:X42)&gt;=2,"Multi","Single"))</f>
        <v/>
      </c>
      <c r="Z42" s="14"/>
      <c r="AA42" s="14"/>
      <c r="AB42" s="14"/>
      <c r="AC42" s="14"/>
      <c r="AD42" s="14"/>
      <c r="AE42" s="14"/>
      <c r="AF42" s="14"/>
      <c r="AG42" s="15"/>
    </row>
    <row r="43" spans="1:33">
      <c r="A43" s="8" t="s">
        <v>167</v>
      </c>
      <c r="B43" s="9"/>
      <c r="C43" s="8"/>
      <c r="D43" s="9"/>
      <c r="E43" s="9"/>
      <c r="F43" s="8"/>
      <c r="G43" s="10"/>
      <c r="H43" s="10"/>
      <c r="I43" s="10"/>
      <c r="J43" s="10"/>
      <c r="K43" s="10"/>
      <c r="L43" s="11" t="str">
        <f>IF(COUNTBLANK(G43:K43)=5,"",IF(COUNTIF(G43:K43,"No")&gt;0,"EXCLUDE","INCLUDE"))</f>
        <v/>
      </c>
      <c r="M43" s="11" t="str">
        <f>IF(L43&lt;&gt;"EXCLUDE","",IF(G43="No","Wrong domain (non-AECO)",IF(H43="No","Digital Twin not core / buzzword",IF(I43="No","No Design for Safety/Quality/PtD",IF(J43="No","Wrong publication type",IF(K43="No","Non-English",""))))))</f>
        <v/>
      </c>
      <c r="N43" s="12"/>
      <c r="O43" s="12"/>
      <c r="P43" s="13"/>
      <c r="Q43" s="13"/>
      <c r="R43" s="13"/>
      <c r="S43" s="11" t="str">
        <f>IF(N43&lt;&gt;"Yes","",IF(COUNTBLANK(P43:R43)=3,"",IF(COUNTIF(P43:R43,"No")&gt;0,"EXCLUDE","INCLUDE")))</f>
        <v/>
      </c>
      <c r="T43" s="11" t="str">
        <f>IF(S43&lt;&gt;"EXCLUDE","",IF(P43="No","Digital Twin mentioned only, not the subject",IF(Q43="No","No Design for Safety/Quality in full text",IF(R43="No","Methodology not codable",""))))</f>
        <v/>
      </c>
      <c r="U43" s="14"/>
      <c r="V43" s="14"/>
      <c r="W43" s="14"/>
      <c r="X43" s="14"/>
      <c r="Y43" s="11" t="str">
        <f>IF(SUM(V43:X43)=0,"",IF(SUM(V43:X43)&gt;=2,"Multi","Single"))</f>
        <v/>
      </c>
      <c r="Z43" s="14"/>
      <c r="AA43" s="14"/>
      <c r="AB43" s="14"/>
      <c r="AC43" s="14"/>
      <c r="AD43" s="14"/>
      <c r="AE43" s="14"/>
      <c r="AF43" s="14"/>
      <c r="AG43" s="15"/>
    </row>
    <row r="44" spans="1:33">
      <c r="A44" s="8" t="s">
        <v>168</v>
      </c>
      <c r="B44" s="9"/>
      <c r="C44" s="8"/>
      <c r="D44" s="9"/>
      <c r="E44" s="9"/>
      <c r="F44" s="8"/>
      <c r="G44" s="10"/>
      <c r="H44" s="10"/>
      <c r="I44" s="10"/>
      <c r="J44" s="10"/>
      <c r="K44" s="10"/>
      <c r="L44" s="11" t="str">
        <f>IF(COUNTBLANK(G44:K44)=5,"",IF(COUNTIF(G44:K44,"No")&gt;0,"EXCLUDE","INCLUDE"))</f>
        <v/>
      </c>
      <c r="M44" s="11" t="str">
        <f>IF(L44&lt;&gt;"EXCLUDE","",IF(G44="No","Wrong domain (non-AECO)",IF(H44="No","Digital Twin not core / buzzword",IF(I44="No","No Design for Safety/Quality/PtD",IF(J44="No","Wrong publication type",IF(K44="No","Non-English",""))))))</f>
        <v/>
      </c>
      <c r="N44" s="12"/>
      <c r="O44" s="12"/>
      <c r="P44" s="13"/>
      <c r="Q44" s="13"/>
      <c r="R44" s="13"/>
      <c r="S44" s="11" t="str">
        <f>IF(N44&lt;&gt;"Yes","",IF(COUNTBLANK(P44:R44)=3,"",IF(COUNTIF(P44:R44,"No")&gt;0,"EXCLUDE","INCLUDE")))</f>
        <v/>
      </c>
      <c r="T44" s="11" t="str">
        <f>IF(S44&lt;&gt;"EXCLUDE","",IF(P44="No","Digital Twin mentioned only, not the subject",IF(Q44="No","No Design for Safety/Quality in full text",IF(R44="No","Methodology not codable",""))))</f>
        <v/>
      </c>
      <c r="U44" s="14"/>
      <c r="V44" s="14"/>
      <c r="W44" s="14"/>
      <c r="X44" s="14"/>
      <c r="Y44" s="11" t="str">
        <f>IF(SUM(V44:X44)=0,"",IF(SUM(V44:X44)&gt;=2,"Multi","Single"))</f>
        <v/>
      </c>
      <c r="Z44" s="14"/>
      <c r="AA44" s="14"/>
      <c r="AB44" s="14"/>
      <c r="AC44" s="14"/>
      <c r="AD44" s="14"/>
      <c r="AE44" s="14"/>
      <c r="AF44" s="14"/>
      <c r="AG44" s="15"/>
    </row>
    <row r="45" spans="1:33">
      <c r="A45" s="8" t="s">
        <v>169</v>
      </c>
      <c r="B45" s="9"/>
      <c r="C45" s="8"/>
      <c r="D45" s="9"/>
      <c r="E45" s="9"/>
      <c r="F45" s="8"/>
      <c r="G45" s="10"/>
      <c r="H45" s="10"/>
      <c r="I45" s="10"/>
      <c r="J45" s="10"/>
      <c r="K45" s="10"/>
      <c r="L45" s="11" t="str">
        <f>IF(COUNTBLANK(G45:K45)=5,"",IF(COUNTIF(G45:K45,"No")&gt;0,"EXCLUDE","INCLUDE"))</f>
        <v/>
      </c>
      <c r="M45" s="11" t="str">
        <f>IF(L45&lt;&gt;"EXCLUDE","",IF(G45="No","Wrong domain (non-AECO)",IF(H45="No","Digital Twin not core / buzzword",IF(I45="No","No Design for Safety/Quality/PtD",IF(J45="No","Wrong publication type",IF(K45="No","Non-English",""))))))</f>
        <v/>
      </c>
      <c r="N45" s="12"/>
      <c r="O45" s="12"/>
      <c r="P45" s="13"/>
      <c r="Q45" s="13"/>
      <c r="R45" s="13"/>
      <c r="S45" s="11" t="str">
        <f>IF(N45&lt;&gt;"Yes","",IF(COUNTBLANK(P45:R45)=3,"",IF(COUNTIF(P45:R45,"No")&gt;0,"EXCLUDE","INCLUDE")))</f>
        <v/>
      </c>
      <c r="T45" s="11" t="str">
        <f>IF(S45&lt;&gt;"EXCLUDE","",IF(P45="No","Digital Twin mentioned only, not the subject",IF(Q45="No","No Design for Safety/Quality in full text",IF(R45="No","Methodology not codable",""))))</f>
        <v/>
      </c>
      <c r="U45" s="14"/>
      <c r="V45" s="14"/>
      <c r="W45" s="14"/>
      <c r="X45" s="14"/>
      <c r="Y45" s="11" t="str">
        <f>IF(SUM(V45:X45)=0,"",IF(SUM(V45:X45)&gt;=2,"Multi","Single"))</f>
        <v/>
      </c>
      <c r="Z45" s="14"/>
      <c r="AA45" s="14"/>
      <c r="AB45" s="14"/>
      <c r="AC45" s="14"/>
      <c r="AD45" s="14"/>
      <c r="AE45" s="14"/>
      <c r="AF45" s="14"/>
      <c r="AG45" s="15"/>
    </row>
    <row r="46" spans="1:33">
      <c r="A46" s="8" t="s">
        <v>170</v>
      </c>
      <c r="B46" s="9"/>
      <c r="C46" s="8"/>
      <c r="D46" s="9"/>
      <c r="E46" s="9"/>
      <c r="F46" s="8"/>
      <c r="G46" s="10"/>
      <c r="H46" s="10"/>
      <c r="I46" s="10"/>
      <c r="J46" s="10"/>
      <c r="K46" s="10"/>
      <c r="L46" s="11" t="str">
        <f>IF(COUNTBLANK(G46:K46)=5,"",IF(COUNTIF(G46:K46,"No")&gt;0,"EXCLUDE","INCLUDE"))</f>
        <v/>
      </c>
      <c r="M46" s="11" t="str">
        <f>IF(L46&lt;&gt;"EXCLUDE","",IF(G46="No","Wrong domain (non-AECO)",IF(H46="No","Digital Twin not core / buzzword",IF(I46="No","No Design for Safety/Quality/PtD",IF(J46="No","Wrong publication type",IF(K46="No","Non-English",""))))))</f>
        <v/>
      </c>
      <c r="N46" s="12"/>
      <c r="O46" s="12"/>
      <c r="P46" s="13"/>
      <c r="Q46" s="13"/>
      <c r="R46" s="13"/>
      <c r="S46" s="11" t="str">
        <f>IF(N46&lt;&gt;"Yes","",IF(COUNTBLANK(P46:R46)=3,"",IF(COUNTIF(P46:R46,"No")&gt;0,"EXCLUDE","INCLUDE")))</f>
        <v/>
      </c>
      <c r="T46" s="11" t="str">
        <f>IF(S46&lt;&gt;"EXCLUDE","",IF(P46="No","Digital Twin mentioned only, not the subject",IF(Q46="No","No Design for Safety/Quality in full text",IF(R46="No","Methodology not codable",""))))</f>
        <v/>
      </c>
      <c r="U46" s="14"/>
      <c r="V46" s="14"/>
      <c r="W46" s="14"/>
      <c r="X46" s="14"/>
      <c r="Y46" s="11" t="str">
        <f>IF(SUM(V46:X46)=0,"",IF(SUM(V46:X46)&gt;=2,"Multi","Single"))</f>
        <v/>
      </c>
      <c r="Z46" s="14"/>
      <c r="AA46" s="14"/>
      <c r="AB46" s="14"/>
      <c r="AC46" s="14"/>
      <c r="AD46" s="14"/>
      <c r="AE46" s="14"/>
      <c r="AF46" s="14"/>
      <c r="AG46" s="15"/>
    </row>
    <row r="47" spans="1:33">
      <c r="A47" s="8" t="s">
        <v>171</v>
      </c>
      <c r="B47" s="9"/>
      <c r="C47" s="8"/>
      <c r="D47" s="9"/>
      <c r="E47" s="9"/>
      <c r="F47" s="8"/>
      <c r="G47" s="10"/>
      <c r="H47" s="10"/>
      <c r="I47" s="10"/>
      <c r="J47" s="10"/>
      <c r="K47" s="10"/>
      <c r="L47" s="11" t="str">
        <f>IF(COUNTBLANK(G47:K47)=5,"",IF(COUNTIF(G47:K47,"No")&gt;0,"EXCLUDE","INCLUDE"))</f>
        <v/>
      </c>
      <c r="M47" s="11" t="str">
        <f>IF(L47&lt;&gt;"EXCLUDE","",IF(G47="No","Wrong domain (non-AECO)",IF(H47="No","Digital Twin not core / buzzword",IF(I47="No","No Design for Safety/Quality/PtD",IF(J47="No","Wrong publication type",IF(K47="No","Non-English",""))))))</f>
        <v/>
      </c>
      <c r="N47" s="12"/>
      <c r="O47" s="12"/>
      <c r="P47" s="13"/>
      <c r="Q47" s="13"/>
      <c r="R47" s="13"/>
      <c r="S47" s="11" t="str">
        <f>IF(N47&lt;&gt;"Yes","",IF(COUNTBLANK(P47:R47)=3,"",IF(COUNTIF(P47:R47,"No")&gt;0,"EXCLUDE","INCLUDE")))</f>
        <v/>
      </c>
      <c r="T47" s="11" t="str">
        <f>IF(S47&lt;&gt;"EXCLUDE","",IF(P47="No","Digital Twin mentioned only, not the subject",IF(Q47="No","No Design for Safety/Quality in full text",IF(R47="No","Methodology not codable",""))))</f>
        <v/>
      </c>
      <c r="U47" s="14"/>
      <c r="V47" s="14"/>
      <c r="W47" s="14"/>
      <c r="X47" s="14"/>
      <c r="Y47" s="11" t="str">
        <f>IF(SUM(V47:X47)=0,"",IF(SUM(V47:X47)&gt;=2,"Multi","Single"))</f>
        <v/>
      </c>
      <c r="Z47" s="14"/>
      <c r="AA47" s="14"/>
      <c r="AB47" s="14"/>
      <c r="AC47" s="14"/>
      <c r="AD47" s="14"/>
      <c r="AE47" s="14"/>
      <c r="AF47" s="14"/>
      <c r="AG47" s="15"/>
    </row>
    <row r="48" spans="1:33">
      <c r="A48" s="8" t="s">
        <v>172</v>
      </c>
      <c r="B48" s="9"/>
      <c r="C48" s="8"/>
      <c r="D48" s="9"/>
      <c r="E48" s="9"/>
      <c r="F48" s="8"/>
      <c r="G48" s="10"/>
      <c r="H48" s="10"/>
      <c r="I48" s="10"/>
      <c r="J48" s="10"/>
      <c r="K48" s="10"/>
      <c r="L48" s="11" t="str">
        <f>IF(COUNTBLANK(G48:K48)=5,"",IF(COUNTIF(G48:K48,"No")&gt;0,"EXCLUDE","INCLUDE"))</f>
        <v/>
      </c>
      <c r="M48" s="11" t="str">
        <f>IF(L48&lt;&gt;"EXCLUDE","",IF(G48="No","Wrong domain (non-AECO)",IF(H48="No","Digital Twin not core / buzzword",IF(I48="No","No Design for Safety/Quality/PtD",IF(J48="No","Wrong publication type",IF(K48="No","Non-English",""))))))</f>
        <v/>
      </c>
      <c r="N48" s="12"/>
      <c r="O48" s="12"/>
      <c r="P48" s="13"/>
      <c r="Q48" s="13"/>
      <c r="R48" s="13"/>
      <c r="S48" s="11" t="str">
        <f>IF(N48&lt;&gt;"Yes","",IF(COUNTBLANK(P48:R48)=3,"",IF(COUNTIF(P48:R48,"No")&gt;0,"EXCLUDE","INCLUDE")))</f>
        <v/>
      </c>
      <c r="T48" s="11" t="str">
        <f>IF(S48&lt;&gt;"EXCLUDE","",IF(P48="No","Digital Twin mentioned only, not the subject",IF(Q48="No","No Design for Safety/Quality in full text",IF(R48="No","Methodology not codable",""))))</f>
        <v/>
      </c>
      <c r="U48" s="14"/>
      <c r="V48" s="14"/>
      <c r="W48" s="14"/>
      <c r="X48" s="14"/>
      <c r="Y48" s="11" t="str">
        <f>IF(SUM(V48:X48)=0,"",IF(SUM(V48:X48)&gt;=2,"Multi","Single"))</f>
        <v/>
      </c>
      <c r="Z48" s="14"/>
      <c r="AA48" s="14"/>
      <c r="AB48" s="14"/>
      <c r="AC48" s="14"/>
      <c r="AD48" s="14"/>
      <c r="AE48" s="14"/>
      <c r="AF48" s="14"/>
      <c r="AG48" s="15"/>
    </row>
    <row r="49" spans="1:33">
      <c r="A49" s="8" t="s">
        <v>173</v>
      </c>
      <c r="B49" s="9"/>
      <c r="C49" s="8"/>
      <c r="D49" s="9"/>
      <c r="E49" s="9"/>
      <c r="F49" s="8"/>
      <c r="G49" s="10"/>
      <c r="H49" s="10"/>
      <c r="I49" s="10"/>
      <c r="J49" s="10"/>
      <c r="K49" s="10"/>
      <c r="L49" s="11" t="str">
        <f>IF(COUNTBLANK(G49:K49)=5,"",IF(COUNTIF(G49:K49,"No")&gt;0,"EXCLUDE","INCLUDE"))</f>
        <v/>
      </c>
      <c r="M49" s="11" t="str">
        <f>IF(L49&lt;&gt;"EXCLUDE","",IF(G49="No","Wrong domain (non-AECO)",IF(H49="No","Digital Twin not core / buzzword",IF(I49="No","No Design for Safety/Quality/PtD",IF(J49="No","Wrong publication type",IF(K49="No","Non-English",""))))))</f>
        <v/>
      </c>
      <c r="N49" s="12"/>
      <c r="O49" s="12"/>
      <c r="P49" s="13"/>
      <c r="Q49" s="13"/>
      <c r="R49" s="13"/>
      <c r="S49" s="11" t="str">
        <f>IF(N49&lt;&gt;"Yes","",IF(COUNTBLANK(P49:R49)=3,"",IF(COUNTIF(P49:R49,"No")&gt;0,"EXCLUDE","INCLUDE")))</f>
        <v/>
      </c>
      <c r="T49" s="11" t="str">
        <f>IF(S49&lt;&gt;"EXCLUDE","",IF(P49="No","Digital Twin mentioned only, not the subject",IF(Q49="No","No Design for Safety/Quality in full text",IF(R49="No","Methodology not codable",""))))</f>
        <v/>
      </c>
      <c r="U49" s="14"/>
      <c r="V49" s="14"/>
      <c r="W49" s="14"/>
      <c r="X49" s="14"/>
      <c r="Y49" s="11" t="str">
        <f>IF(SUM(V49:X49)=0,"",IF(SUM(V49:X49)&gt;=2,"Multi","Single"))</f>
        <v/>
      </c>
      <c r="Z49" s="14"/>
      <c r="AA49" s="14"/>
      <c r="AB49" s="14"/>
      <c r="AC49" s="14"/>
      <c r="AD49" s="14"/>
      <c r="AE49" s="14"/>
      <c r="AF49" s="14"/>
      <c r="AG49" s="15"/>
    </row>
    <row r="50" spans="1:33">
      <c r="A50" s="8" t="s">
        <v>174</v>
      </c>
      <c r="B50" s="9"/>
      <c r="C50" s="8"/>
      <c r="D50" s="9"/>
      <c r="E50" s="9"/>
      <c r="F50" s="8"/>
      <c r="G50" s="10"/>
      <c r="H50" s="10"/>
      <c r="I50" s="10"/>
      <c r="J50" s="10"/>
      <c r="K50" s="10"/>
      <c r="L50" s="11" t="str">
        <f>IF(COUNTBLANK(G50:K50)=5,"",IF(COUNTIF(G50:K50,"No")&gt;0,"EXCLUDE","INCLUDE"))</f>
        <v/>
      </c>
      <c r="M50" s="11" t="str">
        <f>IF(L50&lt;&gt;"EXCLUDE","",IF(G50="No","Wrong domain (non-AECO)",IF(H50="No","Digital Twin not core / buzzword",IF(I50="No","No Design for Safety/Quality/PtD",IF(J50="No","Wrong publication type",IF(K50="No","Non-English",""))))))</f>
        <v/>
      </c>
      <c r="N50" s="12"/>
      <c r="O50" s="12"/>
      <c r="P50" s="13"/>
      <c r="Q50" s="13"/>
      <c r="R50" s="13"/>
      <c r="S50" s="11" t="str">
        <f>IF(N50&lt;&gt;"Yes","",IF(COUNTBLANK(P50:R50)=3,"",IF(COUNTIF(P50:R50,"No")&gt;0,"EXCLUDE","INCLUDE")))</f>
        <v/>
      </c>
      <c r="T50" s="11" t="str">
        <f>IF(S50&lt;&gt;"EXCLUDE","",IF(P50="No","Digital Twin mentioned only, not the subject",IF(Q50="No","No Design for Safety/Quality in full text",IF(R50="No","Methodology not codable",""))))</f>
        <v/>
      </c>
      <c r="U50" s="14"/>
      <c r="V50" s="14"/>
      <c r="W50" s="14"/>
      <c r="X50" s="14"/>
      <c r="Y50" s="11" t="str">
        <f>IF(SUM(V50:X50)=0,"",IF(SUM(V50:X50)&gt;=2,"Multi","Single"))</f>
        <v/>
      </c>
      <c r="Z50" s="14"/>
      <c r="AA50" s="14"/>
      <c r="AB50" s="14"/>
      <c r="AC50" s="14"/>
      <c r="AD50" s="14"/>
      <c r="AE50" s="14"/>
      <c r="AF50" s="14"/>
      <c r="AG50" s="15"/>
    </row>
    <row r="51" spans="1:33">
      <c r="A51" s="8" t="s">
        <v>175</v>
      </c>
      <c r="B51" s="9"/>
      <c r="C51" s="8"/>
      <c r="D51" s="9"/>
      <c r="E51" s="9"/>
      <c r="F51" s="8"/>
      <c r="G51" s="10"/>
      <c r="H51" s="10"/>
      <c r="I51" s="10"/>
      <c r="J51" s="10"/>
      <c r="K51" s="10"/>
      <c r="L51" s="11" t="str">
        <f>IF(COUNTBLANK(G51:K51)=5,"",IF(COUNTIF(G51:K51,"No")&gt;0,"EXCLUDE","INCLUDE"))</f>
        <v/>
      </c>
      <c r="M51" s="11" t="str">
        <f>IF(L51&lt;&gt;"EXCLUDE","",IF(G51="No","Wrong domain (non-AECO)",IF(H51="No","Digital Twin not core / buzzword",IF(I51="No","No Design for Safety/Quality/PtD",IF(J51="No","Wrong publication type",IF(K51="No","Non-English",""))))))</f>
        <v/>
      </c>
      <c r="N51" s="12"/>
      <c r="O51" s="12"/>
      <c r="P51" s="13"/>
      <c r="Q51" s="13"/>
      <c r="R51" s="13"/>
      <c r="S51" s="11" t="str">
        <f>IF(N51&lt;&gt;"Yes","",IF(COUNTBLANK(P51:R51)=3,"",IF(COUNTIF(P51:R51,"No")&gt;0,"EXCLUDE","INCLUDE")))</f>
        <v/>
      </c>
      <c r="T51" s="11" t="str">
        <f>IF(S51&lt;&gt;"EXCLUDE","",IF(P51="No","Digital Twin mentioned only, not the subject",IF(Q51="No","No Design for Safety/Quality in full text",IF(R51="No","Methodology not codable",""))))</f>
        <v/>
      </c>
      <c r="U51" s="14"/>
      <c r="V51" s="14"/>
      <c r="W51" s="14"/>
      <c r="X51" s="14"/>
      <c r="Y51" s="11" t="str">
        <f>IF(SUM(V51:X51)=0,"",IF(SUM(V51:X51)&gt;=2,"Multi","Single"))</f>
        <v/>
      </c>
      <c r="Z51" s="14"/>
      <c r="AA51" s="14"/>
      <c r="AB51" s="14"/>
      <c r="AC51" s="14"/>
      <c r="AD51" s="14"/>
      <c r="AE51" s="14"/>
      <c r="AF51" s="14"/>
      <c r="AG51" s="15"/>
    </row>
    <row r="52" spans="1:33">
      <c r="A52" s="8" t="s">
        <v>176</v>
      </c>
      <c r="B52" s="9"/>
      <c r="C52" s="8"/>
      <c r="D52" s="9"/>
      <c r="E52" s="9"/>
      <c r="F52" s="8"/>
      <c r="G52" s="10"/>
      <c r="H52" s="10"/>
      <c r="I52" s="10"/>
      <c r="J52" s="10"/>
      <c r="K52" s="10"/>
      <c r="L52" s="11" t="str">
        <f>IF(COUNTBLANK(G52:K52)=5,"",IF(COUNTIF(G52:K52,"No")&gt;0,"EXCLUDE","INCLUDE"))</f>
        <v/>
      </c>
      <c r="M52" s="11" t="str">
        <f>IF(L52&lt;&gt;"EXCLUDE","",IF(G52="No","Wrong domain (non-AECO)",IF(H52="No","Digital Twin not core / buzzword",IF(I52="No","No Design for Safety/Quality/PtD",IF(J52="No","Wrong publication type",IF(K52="No","Non-English",""))))))</f>
        <v/>
      </c>
      <c r="N52" s="12"/>
      <c r="O52" s="12"/>
      <c r="P52" s="13"/>
      <c r="Q52" s="13"/>
      <c r="R52" s="13"/>
      <c r="S52" s="11" t="str">
        <f>IF(N52&lt;&gt;"Yes","",IF(COUNTBLANK(P52:R52)=3,"",IF(COUNTIF(P52:R52,"No")&gt;0,"EXCLUDE","INCLUDE")))</f>
        <v/>
      </c>
      <c r="T52" s="11" t="str">
        <f>IF(S52&lt;&gt;"EXCLUDE","",IF(P52="No","Digital Twin mentioned only, not the subject",IF(Q52="No","No Design for Safety/Quality in full text",IF(R52="No","Methodology not codable",""))))</f>
        <v/>
      </c>
      <c r="U52" s="14"/>
      <c r="V52" s="14"/>
      <c r="W52" s="14"/>
      <c r="X52" s="14"/>
      <c r="Y52" s="11" t="str">
        <f>IF(SUM(V52:X52)=0,"",IF(SUM(V52:X52)&gt;=2,"Multi","Single"))</f>
        <v/>
      </c>
      <c r="Z52" s="14"/>
      <c r="AA52" s="14"/>
      <c r="AB52" s="14"/>
      <c r="AC52" s="14"/>
      <c r="AD52" s="14"/>
      <c r="AE52" s="14"/>
      <c r="AF52" s="14"/>
      <c r="AG52" s="15"/>
    </row>
    <row r="53" spans="1:33">
      <c r="A53" s="8" t="s">
        <v>177</v>
      </c>
      <c r="B53" s="9"/>
      <c r="C53" s="8"/>
      <c r="D53" s="9"/>
      <c r="E53" s="9"/>
      <c r="F53" s="8"/>
      <c r="G53" s="10"/>
      <c r="H53" s="10"/>
      <c r="I53" s="10"/>
      <c r="J53" s="10"/>
      <c r="K53" s="10"/>
      <c r="L53" s="11" t="str">
        <f>IF(COUNTBLANK(G53:K53)=5,"",IF(COUNTIF(G53:K53,"No")&gt;0,"EXCLUDE","INCLUDE"))</f>
        <v/>
      </c>
      <c r="M53" s="11" t="str">
        <f>IF(L53&lt;&gt;"EXCLUDE","",IF(G53="No","Wrong domain (non-AECO)",IF(H53="No","Digital Twin not core / buzzword",IF(I53="No","No Design for Safety/Quality/PtD",IF(J53="No","Wrong publication type",IF(K53="No","Non-English",""))))))</f>
        <v/>
      </c>
      <c r="N53" s="12"/>
      <c r="O53" s="12"/>
      <c r="P53" s="13"/>
      <c r="Q53" s="13"/>
      <c r="R53" s="13"/>
      <c r="S53" s="11" t="str">
        <f>IF(N53&lt;&gt;"Yes","",IF(COUNTBLANK(P53:R53)=3,"",IF(COUNTIF(P53:R53,"No")&gt;0,"EXCLUDE","INCLUDE")))</f>
        <v/>
      </c>
      <c r="T53" s="11" t="str">
        <f>IF(S53&lt;&gt;"EXCLUDE","",IF(P53="No","Digital Twin mentioned only, not the subject",IF(Q53="No","No Design for Safety/Quality in full text",IF(R53="No","Methodology not codable",""))))</f>
        <v/>
      </c>
      <c r="U53" s="14"/>
      <c r="V53" s="14"/>
      <c r="W53" s="14"/>
      <c r="X53" s="14"/>
      <c r="Y53" s="11" t="str">
        <f>IF(SUM(V53:X53)=0,"",IF(SUM(V53:X53)&gt;=2,"Multi","Single"))</f>
        <v/>
      </c>
      <c r="Z53" s="14"/>
      <c r="AA53" s="14"/>
      <c r="AB53" s="14"/>
      <c r="AC53" s="14"/>
      <c r="AD53" s="14"/>
      <c r="AE53" s="14"/>
      <c r="AF53" s="14"/>
      <c r="AG53" s="15"/>
    </row>
    <row r="54" spans="1:33">
      <c r="A54" s="8" t="s">
        <v>178</v>
      </c>
      <c r="B54" s="9"/>
      <c r="C54" s="8"/>
      <c r="D54" s="9"/>
      <c r="E54" s="9"/>
      <c r="F54" s="8"/>
      <c r="G54" s="10"/>
      <c r="H54" s="10"/>
      <c r="I54" s="10"/>
      <c r="J54" s="10"/>
      <c r="K54" s="10"/>
      <c r="L54" s="11" t="str">
        <f>IF(COUNTBLANK(G54:K54)=5,"",IF(COUNTIF(G54:K54,"No")&gt;0,"EXCLUDE","INCLUDE"))</f>
        <v/>
      </c>
      <c r="M54" s="11" t="str">
        <f>IF(L54&lt;&gt;"EXCLUDE","",IF(G54="No","Wrong domain (non-AECO)",IF(H54="No","Digital Twin not core / buzzword",IF(I54="No","No Design for Safety/Quality/PtD",IF(J54="No","Wrong publication type",IF(K54="No","Non-English",""))))))</f>
        <v/>
      </c>
      <c r="N54" s="12"/>
      <c r="O54" s="12"/>
      <c r="P54" s="13"/>
      <c r="Q54" s="13"/>
      <c r="R54" s="13"/>
      <c r="S54" s="11" t="str">
        <f>IF(N54&lt;&gt;"Yes","",IF(COUNTBLANK(P54:R54)=3,"",IF(COUNTIF(P54:R54,"No")&gt;0,"EXCLUDE","INCLUDE")))</f>
        <v/>
      </c>
      <c r="T54" s="11" t="str">
        <f>IF(S54&lt;&gt;"EXCLUDE","",IF(P54="No","Digital Twin mentioned only, not the subject",IF(Q54="No","No Design for Safety/Quality in full text",IF(R54="No","Methodology not codable",""))))</f>
        <v/>
      </c>
      <c r="U54" s="14"/>
      <c r="V54" s="14"/>
      <c r="W54" s="14"/>
      <c r="X54" s="14"/>
      <c r="Y54" s="11" t="str">
        <f>IF(SUM(V54:X54)=0,"",IF(SUM(V54:X54)&gt;=2,"Multi","Single"))</f>
        <v/>
      </c>
      <c r="Z54" s="14"/>
      <c r="AA54" s="14"/>
      <c r="AB54" s="14"/>
      <c r="AC54" s="14"/>
      <c r="AD54" s="14"/>
      <c r="AE54" s="14"/>
      <c r="AF54" s="14"/>
      <c r="AG54" s="15"/>
    </row>
    <row r="55" spans="1:33">
      <c r="A55" s="8" t="s">
        <v>179</v>
      </c>
      <c r="B55" s="9"/>
      <c r="C55" s="8"/>
      <c r="D55" s="9"/>
      <c r="E55" s="9"/>
      <c r="F55" s="8"/>
      <c r="G55" s="10"/>
      <c r="H55" s="10"/>
      <c r="I55" s="10"/>
      <c r="J55" s="10"/>
      <c r="K55" s="10"/>
      <c r="L55" s="11" t="str">
        <f>IF(COUNTBLANK(G55:K55)=5,"",IF(COUNTIF(G55:K55,"No")&gt;0,"EXCLUDE","INCLUDE"))</f>
        <v/>
      </c>
      <c r="M55" s="11" t="str">
        <f>IF(L55&lt;&gt;"EXCLUDE","",IF(G55="No","Wrong domain (non-AECO)",IF(H55="No","Digital Twin not core / buzzword",IF(I55="No","No Design for Safety/Quality/PtD",IF(J55="No","Wrong publication type",IF(K55="No","Non-English",""))))))</f>
        <v/>
      </c>
      <c r="N55" s="12"/>
      <c r="O55" s="12"/>
      <c r="P55" s="13"/>
      <c r="Q55" s="13"/>
      <c r="R55" s="13"/>
      <c r="S55" s="11" t="str">
        <f>IF(N55&lt;&gt;"Yes","",IF(COUNTBLANK(P55:R55)=3,"",IF(COUNTIF(P55:R55,"No")&gt;0,"EXCLUDE","INCLUDE")))</f>
        <v/>
      </c>
      <c r="T55" s="11" t="str">
        <f>IF(S55&lt;&gt;"EXCLUDE","",IF(P55="No","Digital Twin mentioned only, not the subject",IF(Q55="No","No Design for Safety/Quality in full text",IF(R55="No","Methodology not codable",""))))</f>
        <v/>
      </c>
      <c r="U55" s="14"/>
      <c r="V55" s="14"/>
      <c r="W55" s="14"/>
      <c r="X55" s="14"/>
      <c r="Y55" s="11" t="str">
        <f>IF(SUM(V55:X55)=0,"",IF(SUM(V55:X55)&gt;=2,"Multi","Single"))</f>
        <v/>
      </c>
      <c r="Z55" s="14"/>
      <c r="AA55" s="14"/>
      <c r="AB55" s="14"/>
      <c r="AC55" s="14"/>
      <c r="AD55" s="14"/>
      <c r="AE55" s="14"/>
      <c r="AF55" s="14"/>
      <c r="AG55" s="15"/>
    </row>
    <row r="56" spans="1:33">
      <c r="A56" s="8" t="s">
        <v>180</v>
      </c>
      <c r="B56" s="9"/>
      <c r="C56" s="8"/>
      <c r="D56" s="9"/>
      <c r="E56" s="9"/>
      <c r="F56" s="8"/>
      <c r="G56" s="10"/>
      <c r="H56" s="10"/>
      <c r="I56" s="10"/>
      <c r="J56" s="10"/>
      <c r="K56" s="10"/>
      <c r="L56" s="11" t="str">
        <f>IF(COUNTBLANK(G56:K56)=5,"",IF(COUNTIF(G56:K56,"No")&gt;0,"EXCLUDE","INCLUDE"))</f>
        <v/>
      </c>
      <c r="M56" s="11" t="str">
        <f>IF(L56&lt;&gt;"EXCLUDE","",IF(G56="No","Wrong domain (non-AECO)",IF(H56="No","Digital Twin not core / buzzword",IF(I56="No","No Design for Safety/Quality/PtD",IF(J56="No","Wrong publication type",IF(K56="No","Non-English",""))))))</f>
        <v/>
      </c>
      <c r="N56" s="12"/>
      <c r="O56" s="12"/>
      <c r="P56" s="13"/>
      <c r="Q56" s="13"/>
      <c r="R56" s="13"/>
      <c r="S56" s="11" t="str">
        <f>IF(N56&lt;&gt;"Yes","",IF(COUNTBLANK(P56:R56)=3,"",IF(COUNTIF(P56:R56,"No")&gt;0,"EXCLUDE","INCLUDE")))</f>
        <v/>
      </c>
      <c r="T56" s="11" t="str">
        <f>IF(S56&lt;&gt;"EXCLUDE","",IF(P56="No","Digital Twin mentioned only, not the subject",IF(Q56="No","No Design for Safety/Quality in full text",IF(R56="No","Methodology not codable",""))))</f>
        <v/>
      </c>
      <c r="U56" s="14"/>
      <c r="V56" s="14"/>
      <c r="W56" s="14"/>
      <c r="X56" s="14"/>
      <c r="Y56" s="11" t="str">
        <f>IF(SUM(V56:X56)=0,"",IF(SUM(V56:X56)&gt;=2,"Multi","Single"))</f>
        <v/>
      </c>
      <c r="Z56" s="14"/>
      <c r="AA56" s="14"/>
      <c r="AB56" s="14"/>
      <c r="AC56" s="14"/>
      <c r="AD56" s="14"/>
      <c r="AE56" s="14"/>
      <c r="AF56" s="14"/>
      <c r="AG56" s="15"/>
    </row>
    <row r="57" spans="1:33">
      <c r="A57" s="8" t="s">
        <v>181</v>
      </c>
      <c r="B57" s="9"/>
      <c r="C57" s="8"/>
      <c r="D57" s="9"/>
      <c r="E57" s="9"/>
      <c r="F57" s="8"/>
      <c r="G57" s="10"/>
      <c r="H57" s="10"/>
      <c r="I57" s="10"/>
      <c r="J57" s="10"/>
      <c r="K57" s="10"/>
      <c r="L57" s="11" t="str">
        <f>IF(COUNTBLANK(G57:K57)=5,"",IF(COUNTIF(G57:K57,"No")&gt;0,"EXCLUDE","INCLUDE"))</f>
        <v/>
      </c>
      <c r="M57" s="11" t="str">
        <f>IF(L57&lt;&gt;"EXCLUDE","",IF(G57="No","Wrong domain (non-AECO)",IF(H57="No","Digital Twin not core / buzzword",IF(I57="No","No Design for Safety/Quality/PtD",IF(J57="No","Wrong publication type",IF(K57="No","Non-English",""))))))</f>
        <v/>
      </c>
      <c r="N57" s="12"/>
      <c r="O57" s="12"/>
      <c r="P57" s="13"/>
      <c r="Q57" s="13"/>
      <c r="R57" s="13"/>
      <c r="S57" s="11" t="str">
        <f>IF(N57&lt;&gt;"Yes","",IF(COUNTBLANK(P57:R57)=3,"",IF(COUNTIF(P57:R57,"No")&gt;0,"EXCLUDE","INCLUDE")))</f>
        <v/>
      </c>
      <c r="T57" s="11" t="str">
        <f>IF(S57&lt;&gt;"EXCLUDE","",IF(P57="No","Digital Twin mentioned only, not the subject",IF(Q57="No","No Design for Safety/Quality in full text",IF(R57="No","Methodology not codable",""))))</f>
        <v/>
      </c>
      <c r="U57" s="14"/>
      <c r="V57" s="14"/>
      <c r="W57" s="14"/>
      <c r="X57" s="14"/>
      <c r="Y57" s="11" t="str">
        <f>IF(SUM(V57:X57)=0,"",IF(SUM(V57:X57)&gt;=2,"Multi","Single"))</f>
        <v/>
      </c>
      <c r="Z57" s="14"/>
      <c r="AA57" s="14"/>
      <c r="AB57" s="14"/>
      <c r="AC57" s="14"/>
      <c r="AD57" s="14"/>
      <c r="AE57" s="14"/>
      <c r="AF57" s="14"/>
      <c r="AG57" s="15"/>
    </row>
    <row r="58" spans="1:33">
      <c r="A58" s="8" t="s">
        <v>182</v>
      </c>
      <c r="B58" s="9"/>
      <c r="C58" s="8"/>
      <c r="D58" s="9"/>
      <c r="E58" s="9"/>
      <c r="F58" s="8"/>
      <c r="G58" s="10"/>
      <c r="H58" s="10"/>
      <c r="I58" s="10"/>
      <c r="J58" s="10"/>
      <c r="K58" s="10"/>
      <c r="L58" s="11" t="str">
        <f>IF(COUNTBLANK(G58:K58)=5,"",IF(COUNTIF(G58:K58,"No")&gt;0,"EXCLUDE","INCLUDE"))</f>
        <v/>
      </c>
      <c r="M58" s="11" t="str">
        <f>IF(L58&lt;&gt;"EXCLUDE","",IF(G58="No","Wrong domain (non-AECO)",IF(H58="No","Digital Twin not core / buzzword",IF(I58="No","No Design for Safety/Quality/PtD",IF(J58="No","Wrong publication type",IF(K58="No","Non-English",""))))))</f>
        <v/>
      </c>
      <c r="N58" s="12"/>
      <c r="O58" s="12"/>
      <c r="P58" s="13"/>
      <c r="Q58" s="13"/>
      <c r="R58" s="13"/>
      <c r="S58" s="11" t="str">
        <f>IF(N58&lt;&gt;"Yes","",IF(COUNTBLANK(P58:R58)=3,"",IF(COUNTIF(P58:R58,"No")&gt;0,"EXCLUDE","INCLUDE")))</f>
        <v/>
      </c>
      <c r="T58" s="11" t="str">
        <f>IF(S58&lt;&gt;"EXCLUDE","",IF(P58="No","Digital Twin mentioned only, not the subject",IF(Q58="No","No Design for Safety/Quality in full text",IF(R58="No","Methodology not codable",""))))</f>
        <v/>
      </c>
      <c r="U58" s="14"/>
      <c r="V58" s="14"/>
      <c r="W58" s="14"/>
      <c r="X58" s="14"/>
      <c r="Y58" s="11" t="str">
        <f>IF(SUM(V58:X58)=0,"",IF(SUM(V58:X58)&gt;=2,"Multi","Single"))</f>
        <v/>
      </c>
      <c r="Z58" s="14"/>
      <c r="AA58" s="14"/>
      <c r="AB58" s="14"/>
      <c r="AC58" s="14"/>
      <c r="AD58" s="14"/>
      <c r="AE58" s="14"/>
      <c r="AF58" s="14"/>
      <c r="AG58" s="15"/>
    </row>
    <row r="59" spans="1:33">
      <c r="A59" s="8" t="s">
        <v>183</v>
      </c>
      <c r="B59" s="9"/>
      <c r="C59" s="8"/>
      <c r="D59" s="9"/>
      <c r="E59" s="9"/>
      <c r="F59" s="8"/>
      <c r="G59" s="10"/>
      <c r="H59" s="10"/>
      <c r="I59" s="10"/>
      <c r="J59" s="10"/>
      <c r="K59" s="10"/>
      <c r="L59" s="11" t="str">
        <f>IF(COUNTBLANK(G59:K59)=5,"",IF(COUNTIF(G59:K59,"No")&gt;0,"EXCLUDE","INCLUDE"))</f>
        <v/>
      </c>
      <c r="M59" s="11" t="str">
        <f>IF(L59&lt;&gt;"EXCLUDE","",IF(G59="No","Wrong domain (non-AECO)",IF(H59="No","Digital Twin not core / buzzword",IF(I59="No","No Design for Safety/Quality/PtD",IF(J59="No","Wrong publication type",IF(K59="No","Non-English",""))))))</f>
        <v/>
      </c>
      <c r="N59" s="12"/>
      <c r="O59" s="12"/>
      <c r="P59" s="13"/>
      <c r="Q59" s="13"/>
      <c r="R59" s="13"/>
      <c r="S59" s="11" t="str">
        <f>IF(N59&lt;&gt;"Yes","",IF(COUNTBLANK(P59:R59)=3,"",IF(COUNTIF(P59:R59,"No")&gt;0,"EXCLUDE","INCLUDE")))</f>
        <v/>
      </c>
      <c r="T59" s="11" t="str">
        <f>IF(S59&lt;&gt;"EXCLUDE","",IF(P59="No","Digital Twin mentioned only, not the subject",IF(Q59="No","No Design for Safety/Quality in full text",IF(R59="No","Methodology not codable",""))))</f>
        <v/>
      </c>
      <c r="U59" s="14"/>
      <c r="V59" s="14"/>
      <c r="W59" s="14"/>
      <c r="X59" s="14"/>
      <c r="Y59" s="11" t="str">
        <f>IF(SUM(V59:X59)=0,"",IF(SUM(V59:X59)&gt;=2,"Multi","Single"))</f>
        <v/>
      </c>
      <c r="Z59" s="14"/>
      <c r="AA59" s="14"/>
      <c r="AB59" s="14"/>
      <c r="AC59" s="14"/>
      <c r="AD59" s="14"/>
      <c r="AE59" s="14"/>
      <c r="AF59" s="14"/>
      <c r="AG59" s="15"/>
    </row>
    <row r="60" spans="1:33">
      <c r="A60" s="8" t="s">
        <v>184</v>
      </c>
      <c r="B60" s="9"/>
      <c r="C60" s="8"/>
      <c r="D60" s="9"/>
      <c r="E60" s="9"/>
      <c r="F60" s="8"/>
      <c r="G60" s="10"/>
      <c r="H60" s="10"/>
      <c r="I60" s="10"/>
      <c r="J60" s="10"/>
      <c r="K60" s="10"/>
      <c r="L60" s="11" t="str">
        <f>IF(COUNTBLANK(G60:K60)=5,"",IF(COUNTIF(G60:K60,"No")&gt;0,"EXCLUDE","INCLUDE"))</f>
        <v/>
      </c>
      <c r="M60" s="11" t="str">
        <f>IF(L60&lt;&gt;"EXCLUDE","",IF(G60="No","Wrong domain (non-AECO)",IF(H60="No","Digital Twin not core / buzzword",IF(I60="No","No Design for Safety/Quality/PtD",IF(J60="No","Wrong publication type",IF(K60="No","Non-English",""))))))</f>
        <v/>
      </c>
      <c r="N60" s="12"/>
      <c r="O60" s="12"/>
      <c r="P60" s="13"/>
      <c r="Q60" s="13"/>
      <c r="R60" s="13"/>
      <c r="S60" s="11" t="str">
        <f>IF(N60&lt;&gt;"Yes","",IF(COUNTBLANK(P60:R60)=3,"",IF(COUNTIF(P60:R60,"No")&gt;0,"EXCLUDE","INCLUDE")))</f>
        <v/>
      </c>
      <c r="T60" s="11" t="str">
        <f>IF(S60&lt;&gt;"EXCLUDE","",IF(P60="No","Digital Twin mentioned only, not the subject",IF(Q60="No","No Design for Safety/Quality in full text",IF(R60="No","Methodology not codable",""))))</f>
        <v/>
      </c>
      <c r="U60" s="14"/>
      <c r="V60" s="14"/>
      <c r="W60" s="14"/>
      <c r="X60" s="14"/>
      <c r="Y60" s="11" t="str">
        <f>IF(SUM(V60:X60)=0,"",IF(SUM(V60:X60)&gt;=2,"Multi","Single"))</f>
        <v/>
      </c>
      <c r="Z60" s="14"/>
      <c r="AA60" s="14"/>
      <c r="AB60" s="14"/>
      <c r="AC60" s="14"/>
      <c r="AD60" s="14"/>
      <c r="AE60" s="14"/>
      <c r="AF60" s="14"/>
      <c r="AG60" s="15"/>
    </row>
    <row r="61" spans="1:33">
      <c r="A61" s="8" t="s">
        <v>185</v>
      </c>
      <c r="B61" s="9"/>
      <c r="C61" s="8"/>
      <c r="D61" s="9"/>
      <c r="E61" s="9"/>
      <c r="F61" s="8"/>
      <c r="G61" s="10"/>
      <c r="H61" s="10"/>
      <c r="I61" s="10"/>
      <c r="J61" s="10"/>
      <c r="K61" s="10"/>
      <c r="L61" s="11" t="str">
        <f>IF(COUNTBLANK(G61:K61)=5,"",IF(COUNTIF(G61:K61,"No")&gt;0,"EXCLUDE","INCLUDE"))</f>
        <v/>
      </c>
      <c r="M61" s="11" t="str">
        <f>IF(L61&lt;&gt;"EXCLUDE","",IF(G61="No","Wrong domain (non-AECO)",IF(H61="No","Digital Twin not core / buzzword",IF(I61="No","No Design for Safety/Quality/PtD",IF(J61="No","Wrong publication type",IF(K61="No","Non-English",""))))))</f>
        <v/>
      </c>
      <c r="N61" s="12"/>
      <c r="O61" s="12"/>
      <c r="P61" s="13"/>
      <c r="Q61" s="13"/>
      <c r="R61" s="13"/>
      <c r="S61" s="11" t="str">
        <f>IF(N61&lt;&gt;"Yes","",IF(COUNTBLANK(P61:R61)=3,"",IF(COUNTIF(P61:R61,"No")&gt;0,"EXCLUDE","INCLUDE")))</f>
        <v/>
      </c>
      <c r="T61" s="11" t="str">
        <f>IF(S61&lt;&gt;"EXCLUDE","",IF(P61="No","Digital Twin mentioned only, not the subject",IF(Q61="No","No Design for Safety/Quality in full text",IF(R61="No","Methodology not codable",""))))</f>
        <v/>
      </c>
      <c r="U61" s="14"/>
      <c r="V61" s="14"/>
      <c r="W61" s="14"/>
      <c r="X61" s="14"/>
      <c r="Y61" s="11" t="str">
        <f>IF(SUM(V61:X61)=0,"",IF(SUM(V61:X61)&gt;=2,"Multi","Single"))</f>
        <v/>
      </c>
      <c r="Z61" s="14"/>
      <c r="AA61" s="14"/>
      <c r="AB61" s="14"/>
      <c r="AC61" s="14"/>
      <c r="AD61" s="14"/>
      <c r="AE61" s="14"/>
      <c r="AF61" s="14"/>
      <c r="AG61" s="15"/>
    </row>
    <row r="62" spans="1:33">
      <c r="A62" s="8" t="s">
        <v>186</v>
      </c>
      <c r="B62" s="9"/>
      <c r="C62" s="8"/>
      <c r="D62" s="9"/>
      <c r="E62" s="9"/>
      <c r="F62" s="8"/>
      <c r="G62" s="10"/>
      <c r="H62" s="10"/>
      <c r="I62" s="10"/>
      <c r="J62" s="10"/>
      <c r="K62" s="10"/>
      <c r="L62" s="11" t="str">
        <f>IF(COUNTBLANK(G62:K62)=5,"",IF(COUNTIF(G62:K62,"No")&gt;0,"EXCLUDE","INCLUDE"))</f>
        <v/>
      </c>
      <c r="M62" s="11" t="str">
        <f>IF(L62&lt;&gt;"EXCLUDE","",IF(G62="No","Wrong domain (non-AECO)",IF(H62="No","Digital Twin not core / buzzword",IF(I62="No","No Design for Safety/Quality/PtD",IF(J62="No","Wrong publication type",IF(K62="No","Non-English",""))))))</f>
        <v/>
      </c>
      <c r="N62" s="12"/>
      <c r="O62" s="12"/>
      <c r="P62" s="13"/>
      <c r="Q62" s="13"/>
      <c r="R62" s="13"/>
      <c r="S62" s="11" t="str">
        <f>IF(N62&lt;&gt;"Yes","",IF(COUNTBLANK(P62:R62)=3,"",IF(COUNTIF(P62:R62,"No")&gt;0,"EXCLUDE","INCLUDE")))</f>
        <v/>
      </c>
      <c r="T62" s="11" t="str">
        <f>IF(S62&lt;&gt;"EXCLUDE","",IF(P62="No","Digital Twin mentioned only, not the subject",IF(Q62="No","No Design for Safety/Quality in full text",IF(R62="No","Methodology not codable",""))))</f>
        <v/>
      </c>
      <c r="U62" s="14"/>
      <c r="V62" s="14"/>
      <c r="W62" s="14"/>
      <c r="X62" s="14"/>
      <c r="Y62" s="11" t="str">
        <f>IF(SUM(V62:X62)=0,"",IF(SUM(V62:X62)&gt;=2,"Multi","Single"))</f>
        <v/>
      </c>
      <c r="Z62" s="14"/>
      <c r="AA62" s="14"/>
      <c r="AB62" s="14"/>
      <c r="AC62" s="14"/>
      <c r="AD62" s="14"/>
      <c r="AE62" s="14"/>
      <c r="AF62" s="14"/>
      <c r="AG62" s="15"/>
    </row>
    <row r="63" spans="1:33">
      <c r="A63" s="8" t="s">
        <v>187</v>
      </c>
      <c r="B63" s="9"/>
      <c r="C63" s="8"/>
      <c r="D63" s="9"/>
      <c r="E63" s="9"/>
      <c r="F63" s="8"/>
      <c r="G63" s="10"/>
      <c r="H63" s="10"/>
      <c r="I63" s="10"/>
      <c r="J63" s="10"/>
      <c r="K63" s="10"/>
      <c r="L63" s="11" t="str">
        <f>IF(COUNTBLANK(G63:K63)=5,"",IF(COUNTIF(G63:K63,"No")&gt;0,"EXCLUDE","INCLUDE"))</f>
        <v/>
      </c>
      <c r="M63" s="11" t="str">
        <f>IF(L63&lt;&gt;"EXCLUDE","",IF(G63="No","Wrong domain (non-AECO)",IF(H63="No","Digital Twin not core / buzzword",IF(I63="No","No Design for Safety/Quality/PtD",IF(J63="No","Wrong publication type",IF(K63="No","Non-English",""))))))</f>
        <v/>
      </c>
      <c r="N63" s="12"/>
      <c r="O63" s="12"/>
      <c r="P63" s="13"/>
      <c r="Q63" s="13"/>
      <c r="R63" s="13"/>
      <c r="S63" s="11" t="str">
        <f>IF(N63&lt;&gt;"Yes","",IF(COUNTBLANK(P63:R63)=3,"",IF(COUNTIF(P63:R63,"No")&gt;0,"EXCLUDE","INCLUDE")))</f>
        <v/>
      </c>
      <c r="T63" s="11" t="str">
        <f>IF(S63&lt;&gt;"EXCLUDE","",IF(P63="No","Digital Twin mentioned only, not the subject",IF(Q63="No","No Design for Safety/Quality in full text",IF(R63="No","Methodology not codable",""))))</f>
        <v/>
      </c>
      <c r="U63" s="14"/>
      <c r="V63" s="14"/>
      <c r="W63" s="14"/>
      <c r="X63" s="14"/>
      <c r="Y63" s="11" t="str">
        <f>IF(SUM(V63:X63)=0,"",IF(SUM(V63:X63)&gt;=2,"Multi","Single"))</f>
        <v/>
      </c>
      <c r="Z63" s="14"/>
      <c r="AA63" s="14"/>
      <c r="AB63" s="14"/>
      <c r="AC63" s="14"/>
      <c r="AD63" s="14"/>
      <c r="AE63" s="14"/>
      <c r="AF63" s="14"/>
      <c r="AG63" s="15"/>
    </row>
    <row r="64" spans="1:33">
      <c r="A64" s="8" t="s">
        <v>188</v>
      </c>
      <c r="B64" s="9"/>
      <c r="C64" s="8"/>
      <c r="D64" s="9"/>
      <c r="E64" s="9"/>
      <c r="F64" s="8"/>
      <c r="G64" s="10"/>
      <c r="H64" s="10"/>
      <c r="I64" s="10"/>
      <c r="J64" s="10"/>
      <c r="K64" s="10"/>
      <c r="L64" s="11" t="str">
        <f>IF(COUNTBLANK(G64:K64)=5,"",IF(COUNTIF(G64:K64,"No")&gt;0,"EXCLUDE","INCLUDE"))</f>
        <v/>
      </c>
      <c r="M64" s="11" t="str">
        <f>IF(L64&lt;&gt;"EXCLUDE","",IF(G64="No","Wrong domain (non-AECO)",IF(H64="No","Digital Twin not core / buzzword",IF(I64="No","No Design for Safety/Quality/PtD",IF(J64="No","Wrong publication type",IF(K64="No","Non-English",""))))))</f>
        <v/>
      </c>
      <c r="N64" s="12"/>
      <c r="O64" s="12"/>
      <c r="P64" s="13"/>
      <c r="Q64" s="13"/>
      <c r="R64" s="13"/>
      <c r="S64" s="11" t="str">
        <f>IF(N64&lt;&gt;"Yes","",IF(COUNTBLANK(P64:R64)=3,"",IF(COUNTIF(P64:R64,"No")&gt;0,"EXCLUDE","INCLUDE")))</f>
        <v/>
      </c>
      <c r="T64" s="11" t="str">
        <f>IF(S64&lt;&gt;"EXCLUDE","",IF(P64="No","Digital Twin mentioned only, not the subject",IF(Q64="No","No Design for Safety/Quality in full text",IF(R64="No","Methodology not codable",""))))</f>
        <v/>
      </c>
      <c r="U64" s="14"/>
      <c r="V64" s="14"/>
      <c r="W64" s="14"/>
      <c r="X64" s="14"/>
      <c r="Y64" s="11" t="str">
        <f>IF(SUM(V64:X64)=0,"",IF(SUM(V64:X64)&gt;=2,"Multi","Single"))</f>
        <v/>
      </c>
      <c r="Z64" s="14"/>
      <c r="AA64" s="14"/>
      <c r="AB64" s="14"/>
      <c r="AC64" s="14"/>
      <c r="AD64" s="14"/>
      <c r="AE64" s="14"/>
      <c r="AF64" s="14"/>
      <c r="AG64" s="15"/>
    </row>
    <row r="65" spans="1:33">
      <c r="A65" s="8" t="s">
        <v>189</v>
      </c>
      <c r="B65" s="9"/>
      <c r="C65" s="8"/>
      <c r="D65" s="9"/>
      <c r="E65" s="9"/>
      <c r="F65" s="8"/>
      <c r="G65" s="10"/>
      <c r="H65" s="10"/>
      <c r="I65" s="10"/>
      <c r="J65" s="10"/>
      <c r="K65" s="10"/>
      <c r="L65" s="11" t="str">
        <f>IF(COUNTBLANK(G65:K65)=5,"",IF(COUNTIF(G65:K65,"No")&gt;0,"EXCLUDE","INCLUDE"))</f>
        <v/>
      </c>
      <c r="M65" s="11" t="str">
        <f>IF(L65&lt;&gt;"EXCLUDE","",IF(G65="No","Wrong domain (non-AECO)",IF(H65="No","Digital Twin not core / buzzword",IF(I65="No","No Design for Safety/Quality/PtD",IF(J65="No","Wrong publication type",IF(K65="No","Non-English",""))))))</f>
        <v/>
      </c>
      <c r="N65" s="12"/>
      <c r="O65" s="12"/>
      <c r="P65" s="13"/>
      <c r="Q65" s="13"/>
      <c r="R65" s="13"/>
      <c r="S65" s="11" t="str">
        <f>IF(N65&lt;&gt;"Yes","",IF(COUNTBLANK(P65:R65)=3,"",IF(COUNTIF(P65:R65,"No")&gt;0,"EXCLUDE","INCLUDE")))</f>
        <v/>
      </c>
      <c r="T65" s="11" t="str">
        <f>IF(S65&lt;&gt;"EXCLUDE","",IF(P65="No","Digital Twin mentioned only, not the subject",IF(Q65="No","No Design for Safety/Quality in full text",IF(R65="No","Methodology not codable",""))))</f>
        <v/>
      </c>
      <c r="U65" s="14"/>
      <c r="V65" s="14"/>
      <c r="W65" s="14"/>
      <c r="X65" s="14"/>
      <c r="Y65" s="11" t="str">
        <f>IF(SUM(V65:X65)=0,"",IF(SUM(V65:X65)&gt;=2,"Multi","Single"))</f>
        <v/>
      </c>
      <c r="Z65" s="14"/>
      <c r="AA65" s="14"/>
      <c r="AB65" s="14"/>
      <c r="AC65" s="14"/>
      <c r="AD65" s="14"/>
      <c r="AE65" s="14"/>
      <c r="AF65" s="14"/>
      <c r="AG65" s="15"/>
    </row>
    <row r="66" spans="1:33">
      <c r="A66" s="8" t="s">
        <v>190</v>
      </c>
      <c r="B66" s="9"/>
      <c r="C66" s="8"/>
      <c r="D66" s="9"/>
      <c r="E66" s="9"/>
      <c r="F66" s="8"/>
      <c r="G66" s="10"/>
      <c r="H66" s="10"/>
      <c r="I66" s="10"/>
      <c r="J66" s="10"/>
      <c r="K66" s="10"/>
      <c r="L66" s="11" t="str">
        <f>IF(COUNTBLANK(G66:K66)=5,"",IF(COUNTIF(G66:K66,"No")&gt;0,"EXCLUDE","INCLUDE"))</f>
        <v/>
      </c>
      <c r="M66" s="11" t="str">
        <f>IF(L66&lt;&gt;"EXCLUDE","",IF(G66="No","Wrong domain (non-AECO)",IF(H66="No","Digital Twin not core / buzzword",IF(I66="No","No Design for Safety/Quality/PtD",IF(J66="No","Wrong publication type",IF(K66="No","Non-English",""))))))</f>
        <v/>
      </c>
      <c r="N66" s="12"/>
      <c r="O66" s="12"/>
      <c r="P66" s="13"/>
      <c r="Q66" s="13"/>
      <c r="R66" s="13"/>
      <c r="S66" s="11" t="str">
        <f>IF(N66&lt;&gt;"Yes","",IF(COUNTBLANK(P66:R66)=3,"",IF(COUNTIF(P66:R66,"No")&gt;0,"EXCLUDE","INCLUDE")))</f>
        <v/>
      </c>
      <c r="T66" s="11" t="str">
        <f>IF(S66&lt;&gt;"EXCLUDE","",IF(P66="No","Digital Twin mentioned only, not the subject",IF(Q66="No","No Design for Safety/Quality in full text",IF(R66="No","Methodology not codable",""))))</f>
        <v/>
      </c>
      <c r="U66" s="14"/>
      <c r="V66" s="14"/>
      <c r="W66" s="14"/>
      <c r="X66" s="14"/>
      <c r="Y66" s="11" t="str">
        <f>IF(SUM(V66:X66)=0,"",IF(SUM(V66:X66)&gt;=2,"Multi","Single"))</f>
        <v/>
      </c>
      <c r="Z66" s="14"/>
      <c r="AA66" s="14"/>
      <c r="AB66" s="14"/>
      <c r="AC66" s="14"/>
      <c r="AD66" s="14"/>
      <c r="AE66" s="14"/>
      <c r="AF66" s="14"/>
      <c r="AG66" s="15"/>
    </row>
    <row r="67" spans="1:33">
      <c r="A67" s="8" t="s">
        <v>191</v>
      </c>
      <c r="B67" s="9"/>
      <c r="C67" s="8"/>
      <c r="D67" s="9"/>
      <c r="E67" s="9"/>
      <c r="F67" s="8"/>
      <c r="G67" s="10"/>
      <c r="H67" s="10"/>
      <c r="I67" s="10"/>
      <c r="J67" s="10"/>
      <c r="K67" s="10"/>
      <c r="L67" s="11" t="str">
        <f>IF(COUNTBLANK(G67:K67)=5,"",IF(COUNTIF(G67:K67,"No")&gt;0,"EXCLUDE","INCLUDE"))</f>
        <v/>
      </c>
      <c r="M67" s="11" t="str">
        <f>IF(L67&lt;&gt;"EXCLUDE","",IF(G67="No","Wrong domain (non-AECO)",IF(H67="No","Digital Twin not core / buzzword",IF(I67="No","No Design for Safety/Quality/PtD",IF(J67="No","Wrong publication type",IF(K67="No","Non-English",""))))))</f>
        <v/>
      </c>
      <c r="N67" s="12"/>
      <c r="O67" s="12"/>
      <c r="P67" s="13"/>
      <c r="Q67" s="13"/>
      <c r="R67" s="13"/>
      <c r="S67" s="11" t="str">
        <f>IF(N67&lt;&gt;"Yes","",IF(COUNTBLANK(P67:R67)=3,"",IF(COUNTIF(P67:R67,"No")&gt;0,"EXCLUDE","INCLUDE")))</f>
        <v/>
      </c>
      <c r="T67" s="11" t="str">
        <f>IF(S67&lt;&gt;"EXCLUDE","",IF(P67="No","Digital Twin mentioned only, not the subject",IF(Q67="No","No Design for Safety/Quality in full text",IF(R67="No","Methodology not codable",""))))</f>
        <v/>
      </c>
      <c r="U67" s="14"/>
      <c r="V67" s="14"/>
      <c r="W67" s="14"/>
      <c r="X67" s="14"/>
      <c r="Y67" s="11" t="str">
        <f>IF(SUM(V67:X67)=0,"",IF(SUM(V67:X67)&gt;=2,"Multi","Single"))</f>
        <v/>
      </c>
      <c r="Z67" s="14"/>
      <c r="AA67" s="14"/>
      <c r="AB67" s="14"/>
      <c r="AC67" s="14"/>
      <c r="AD67" s="14"/>
      <c r="AE67" s="14"/>
      <c r="AF67" s="14"/>
      <c r="AG67" s="15"/>
    </row>
    <row r="68" spans="1:33">
      <c r="A68" s="8" t="s">
        <v>192</v>
      </c>
      <c r="B68" s="9"/>
      <c r="C68" s="8"/>
      <c r="D68" s="9"/>
      <c r="E68" s="9"/>
      <c r="F68" s="8"/>
      <c r="G68" s="10"/>
      <c r="H68" s="10"/>
      <c r="I68" s="10"/>
      <c r="J68" s="10"/>
      <c r="K68" s="10"/>
      <c r="L68" s="11" t="str">
        <f>IF(COUNTBLANK(G68:K68)=5,"",IF(COUNTIF(G68:K68,"No")&gt;0,"EXCLUDE","INCLUDE"))</f>
        <v/>
      </c>
      <c r="M68" s="11" t="str">
        <f>IF(L68&lt;&gt;"EXCLUDE","",IF(G68="No","Wrong domain (non-AECO)",IF(H68="No","Digital Twin not core / buzzword",IF(I68="No","No Design for Safety/Quality/PtD",IF(J68="No","Wrong publication type",IF(K68="No","Non-English",""))))))</f>
        <v/>
      </c>
      <c r="N68" s="12"/>
      <c r="O68" s="12"/>
      <c r="P68" s="13"/>
      <c r="Q68" s="13"/>
      <c r="R68" s="13"/>
      <c r="S68" s="11" t="str">
        <f>IF(N68&lt;&gt;"Yes","",IF(COUNTBLANK(P68:R68)=3,"",IF(COUNTIF(P68:R68,"No")&gt;0,"EXCLUDE","INCLUDE")))</f>
        <v/>
      </c>
      <c r="T68" s="11" t="str">
        <f>IF(S68&lt;&gt;"EXCLUDE","",IF(P68="No","Digital Twin mentioned only, not the subject",IF(Q68="No","No Design for Safety/Quality in full text",IF(R68="No","Methodology not codable",""))))</f>
        <v/>
      </c>
      <c r="U68" s="14"/>
      <c r="V68" s="14"/>
      <c r="W68" s="14"/>
      <c r="X68" s="14"/>
      <c r="Y68" s="11" t="str">
        <f>IF(SUM(V68:X68)=0,"",IF(SUM(V68:X68)&gt;=2,"Multi","Single"))</f>
        <v/>
      </c>
      <c r="Z68" s="14"/>
      <c r="AA68" s="14"/>
      <c r="AB68" s="14"/>
      <c r="AC68" s="14"/>
      <c r="AD68" s="14"/>
      <c r="AE68" s="14"/>
      <c r="AF68" s="14"/>
      <c r="AG68" s="15"/>
    </row>
    <row r="69" spans="1:33">
      <c r="A69" s="8" t="s">
        <v>193</v>
      </c>
      <c r="B69" s="9"/>
      <c r="C69" s="8"/>
      <c r="D69" s="9"/>
      <c r="E69" s="9"/>
      <c r="F69" s="8"/>
      <c r="G69" s="10"/>
      <c r="H69" s="10"/>
      <c r="I69" s="10"/>
      <c r="J69" s="10"/>
      <c r="K69" s="10"/>
      <c r="L69" s="11" t="str">
        <f>IF(COUNTBLANK(G69:K69)=5,"",IF(COUNTIF(G69:K69,"No")&gt;0,"EXCLUDE","INCLUDE"))</f>
        <v/>
      </c>
      <c r="M69" s="11" t="str">
        <f>IF(L69&lt;&gt;"EXCLUDE","",IF(G69="No","Wrong domain (non-AECO)",IF(H69="No","Digital Twin not core / buzzword",IF(I69="No","No Design for Safety/Quality/PtD",IF(J69="No","Wrong publication type",IF(K69="No","Non-English",""))))))</f>
        <v/>
      </c>
      <c r="N69" s="12"/>
      <c r="O69" s="12"/>
      <c r="P69" s="13"/>
      <c r="Q69" s="13"/>
      <c r="R69" s="13"/>
      <c r="S69" s="11" t="str">
        <f>IF(N69&lt;&gt;"Yes","",IF(COUNTBLANK(P69:R69)=3,"",IF(COUNTIF(P69:R69,"No")&gt;0,"EXCLUDE","INCLUDE")))</f>
        <v/>
      </c>
      <c r="T69" s="11" t="str">
        <f>IF(S69&lt;&gt;"EXCLUDE","",IF(P69="No","Digital Twin mentioned only, not the subject",IF(Q69="No","No Design for Safety/Quality in full text",IF(R69="No","Methodology not codable",""))))</f>
        <v/>
      </c>
      <c r="U69" s="14"/>
      <c r="V69" s="14"/>
      <c r="W69" s="14"/>
      <c r="X69" s="14"/>
      <c r="Y69" s="11" t="str">
        <f>IF(SUM(V69:X69)=0,"",IF(SUM(V69:X69)&gt;=2,"Multi","Single"))</f>
        <v/>
      </c>
      <c r="Z69" s="14"/>
      <c r="AA69" s="14"/>
      <c r="AB69" s="14"/>
      <c r="AC69" s="14"/>
      <c r="AD69" s="14"/>
      <c r="AE69" s="14"/>
      <c r="AF69" s="14"/>
      <c r="AG69" s="15"/>
    </row>
    <row r="70" spans="1:33">
      <c r="A70" s="8" t="s">
        <v>194</v>
      </c>
      <c r="B70" s="9"/>
      <c r="C70" s="8"/>
      <c r="D70" s="9"/>
      <c r="E70" s="9"/>
      <c r="F70" s="8"/>
      <c r="G70" s="10"/>
      <c r="H70" s="10"/>
      <c r="I70" s="10"/>
      <c r="J70" s="10"/>
      <c r="K70" s="10"/>
      <c r="L70" s="11" t="str">
        <f>IF(COUNTBLANK(G70:K70)=5,"",IF(COUNTIF(G70:K70,"No")&gt;0,"EXCLUDE","INCLUDE"))</f>
        <v/>
      </c>
      <c r="M70" s="11" t="str">
        <f>IF(L70&lt;&gt;"EXCLUDE","",IF(G70="No","Wrong domain (non-AECO)",IF(H70="No","Digital Twin not core / buzzword",IF(I70="No","No Design for Safety/Quality/PtD",IF(J70="No","Wrong publication type",IF(K70="No","Non-English",""))))))</f>
        <v/>
      </c>
      <c r="N70" s="12"/>
      <c r="O70" s="12"/>
      <c r="P70" s="13"/>
      <c r="Q70" s="13"/>
      <c r="R70" s="13"/>
      <c r="S70" s="11" t="str">
        <f>IF(N70&lt;&gt;"Yes","",IF(COUNTBLANK(P70:R70)=3,"",IF(COUNTIF(P70:R70,"No")&gt;0,"EXCLUDE","INCLUDE")))</f>
        <v/>
      </c>
      <c r="T70" s="11" t="str">
        <f>IF(S70&lt;&gt;"EXCLUDE","",IF(P70="No","Digital Twin mentioned only, not the subject",IF(Q70="No","No Design for Safety/Quality in full text",IF(R70="No","Methodology not codable",""))))</f>
        <v/>
      </c>
      <c r="U70" s="14"/>
      <c r="V70" s="14"/>
      <c r="W70" s="14"/>
      <c r="X70" s="14"/>
      <c r="Y70" s="11" t="str">
        <f>IF(SUM(V70:X70)=0,"",IF(SUM(V70:X70)&gt;=2,"Multi","Single"))</f>
        <v/>
      </c>
      <c r="Z70" s="14"/>
      <c r="AA70" s="14"/>
      <c r="AB70" s="14"/>
      <c r="AC70" s="14"/>
      <c r="AD70" s="14"/>
      <c r="AE70" s="14"/>
      <c r="AF70" s="14"/>
      <c r="AG70" s="15"/>
    </row>
    <row r="71" spans="1:33">
      <c r="A71" s="8" t="s">
        <v>195</v>
      </c>
      <c r="B71" s="9"/>
      <c r="C71" s="8"/>
      <c r="D71" s="9"/>
      <c r="E71" s="9"/>
      <c r="F71" s="8"/>
      <c r="G71" s="10"/>
      <c r="H71" s="10"/>
      <c r="I71" s="10"/>
      <c r="J71" s="10"/>
      <c r="K71" s="10"/>
      <c r="L71" s="11" t="str">
        <f>IF(COUNTBLANK(G71:K71)=5,"",IF(COUNTIF(G71:K71,"No")&gt;0,"EXCLUDE","INCLUDE"))</f>
        <v/>
      </c>
      <c r="M71" s="11" t="str">
        <f>IF(L71&lt;&gt;"EXCLUDE","",IF(G71="No","Wrong domain (non-AECO)",IF(H71="No","Digital Twin not core / buzzword",IF(I71="No","No Design for Safety/Quality/PtD",IF(J71="No","Wrong publication type",IF(K71="No","Non-English",""))))))</f>
        <v/>
      </c>
      <c r="N71" s="12"/>
      <c r="O71" s="12"/>
      <c r="P71" s="13"/>
      <c r="Q71" s="13"/>
      <c r="R71" s="13"/>
      <c r="S71" s="11" t="str">
        <f>IF(N71&lt;&gt;"Yes","",IF(COUNTBLANK(P71:R71)=3,"",IF(COUNTIF(P71:R71,"No")&gt;0,"EXCLUDE","INCLUDE")))</f>
        <v/>
      </c>
      <c r="T71" s="11" t="str">
        <f>IF(S71&lt;&gt;"EXCLUDE","",IF(P71="No","Digital Twin mentioned only, not the subject",IF(Q71="No","No Design for Safety/Quality in full text",IF(R71="No","Methodology not codable",""))))</f>
        <v/>
      </c>
      <c r="U71" s="14"/>
      <c r="V71" s="14"/>
      <c r="W71" s="14"/>
      <c r="X71" s="14"/>
      <c r="Y71" s="11" t="str">
        <f>IF(SUM(V71:X71)=0,"",IF(SUM(V71:X71)&gt;=2,"Multi","Single"))</f>
        <v/>
      </c>
      <c r="Z71" s="14"/>
      <c r="AA71" s="14"/>
      <c r="AB71" s="14"/>
      <c r="AC71" s="14"/>
      <c r="AD71" s="14"/>
      <c r="AE71" s="14"/>
      <c r="AF71" s="14"/>
      <c r="AG71" s="15"/>
    </row>
    <row r="72" spans="1:33">
      <c r="A72" s="8" t="s">
        <v>196</v>
      </c>
      <c r="B72" s="9"/>
      <c r="C72" s="8"/>
      <c r="D72" s="9"/>
      <c r="E72" s="9"/>
      <c r="F72" s="8"/>
      <c r="G72" s="10"/>
      <c r="H72" s="10"/>
      <c r="I72" s="10"/>
      <c r="J72" s="10"/>
      <c r="K72" s="10"/>
      <c r="L72" s="11" t="str">
        <f>IF(COUNTBLANK(G72:K72)=5,"",IF(COUNTIF(G72:K72,"No")&gt;0,"EXCLUDE","INCLUDE"))</f>
        <v/>
      </c>
      <c r="M72" s="11" t="str">
        <f>IF(L72&lt;&gt;"EXCLUDE","",IF(G72="No","Wrong domain (non-AECO)",IF(H72="No","Digital Twin not core / buzzword",IF(I72="No","No Design for Safety/Quality/PtD",IF(J72="No","Wrong publication type",IF(K72="No","Non-English",""))))))</f>
        <v/>
      </c>
      <c r="N72" s="12"/>
      <c r="O72" s="12"/>
      <c r="P72" s="13"/>
      <c r="Q72" s="13"/>
      <c r="R72" s="13"/>
      <c r="S72" s="11" t="str">
        <f>IF(N72&lt;&gt;"Yes","",IF(COUNTBLANK(P72:R72)=3,"",IF(COUNTIF(P72:R72,"No")&gt;0,"EXCLUDE","INCLUDE")))</f>
        <v/>
      </c>
      <c r="T72" s="11" t="str">
        <f>IF(S72&lt;&gt;"EXCLUDE","",IF(P72="No","Digital Twin mentioned only, not the subject",IF(Q72="No","No Design for Safety/Quality in full text",IF(R72="No","Methodology not codable",""))))</f>
        <v/>
      </c>
      <c r="U72" s="14"/>
      <c r="V72" s="14"/>
      <c r="W72" s="14"/>
      <c r="X72" s="14"/>
      <c r="Y72" s="11" t="str">
        <f>IF(SUM(V72:X72)=0,"",IF(SUM(V72:X72)&gt;=2,"Multi","Single"))</f>
        <v/>
      </c>
      <c r="Z72" s="14"/>
      <c r="AA72" s="14"/>
      <c r="AB72" s="14"/>
      <c r="AC72" s="14"/>
      <c r="AD72" s="14"/>
      <c r="AE72" s="14"/>
      <c r="AF72" s="14"/>
      <c r="AG72" s="15"/>
    </row>
    <row r="73" spans="1:33">
      <c r="A73" s="8" t="s">
        <v>197</v>
      </c>
      <c r="B73" s="9"/>
      <c r="C73" s="8"/>
      <c r="D73" s="9"/>
      <c r="E73" s="9"/>
      <c r="F73" s="8"/>
      <c r="G73" s="10"/>
      <c r="H73" s="10"/>
      <c r="I73" s="10"/>
      <c r="J73" s="10"/>
      <c r="K73" s="10"/>
      <c r="L73" s="11" t="str">
        <f>IF(COUNTBLANK(G73:K73)=5,"",IF(COUNTIF(G73:K73,"No")&gt;0,"EXCLUDE","INCLUDE"))</f>
        <v/>
      </c>
      <c r="M73" s="11" t="str">
        <f>IF(L73&lt;&gt;"EXCLUDE","",IF(G73="No","Wrong domain (non-AECO)",IF(H73="No","Digital Twin not core / buzzword",IF(I73="No","No Design for Safety/Quality/PtD",IF(J73="No","Wrong publication type",IF(K73="No","Non-English",""))))))</f>
        <v/>
      </c>
      <c r="N73" s="12"/>
      <c r="O73" s="12"/>
      <c r="P73" s="13"/>
      <c r="Q73" s="13"/>
      <c r="R73" s="13"/>
      <c r="S73" s="11" t="str">
        <f>IF(N73&lt;&gt;"Yes","",IF(COUNTBLANK(P73:R73)=3,"",IF(COUNTIF(P73:R73,"No")&gt;0,"EXCLUDE","INCLUDE")))</f>
        <v/>
      </c>
      <c r="T73" s="11" t="str">
        <f>IF(S73&lt;&gt;"EXCLUDE","",IF(P73="No","Digital Twin mentioned only, not the subject",IF(Q73="No","No Design for Safety/Quality in full text",IF(R73="No","Methodology not codable",""))))</f>
        <v/>
      </c>
      <c r="U73" s="14"/>
      <c r="V73" s="14"/>
      <c r="W73" s="14"/>
      <c r="X73" s="14"/>
      <c r="Y73" s="11" t="str">
        <f>IF(SUM(V73:X73)=0,"",IF(SUM(V73:X73)&gt;=2,"Multi","Single"))</f>
        <v/>
      </c>
      <c r="Z73" s="14"/>
      <c r="AA73" s="14"/>
      <c r="AB73" s="14"/>
      <c r="AC73" s="14"/>
      <c r="AD73" s="14"/>
      <c r="AE73" s="14"/>
      <c r="AF73" s="14"/>
      <c r="AG73" s="15"/>
    </row>
    <row r="74" spans="1:33">
      <c r="A74" s="8" t="s">
        <v>198</v>
      </c>
      <c r="B74" s="9"/>
      <c r="C74" s="8"/>
      <c r="D74" s="9"/>
      <c r="E74" s="9"/>
      <c r="F74" s="8"/>
      <c r="G74" s="10"/>
      <c r="H74" s="10"/>
      <c r="I74" s="10"/>
      <c r="J74" s="10"/>
      <c r="K74" s="10"/>
      <c r="L74" s="11" t="str">
        <f>IF(COUNTBLANK(G74:K74)=5,"",IF(COUNTIF(G74:K74,"No")&gt;0,"EXCLUDE","INCLUDE"))</f>
        <v/>
      </c>
      <c r="M74" s="11" t="str">
        <f>IF(L74&lt;&gt;"EXCLUDE","",IF(G74="No","Wrong domain (non-AECO)",IF(H74="No","Digital Twin not core / buzzword",IF(I74="No","No Design for Safety/Quality/PtD",IF(J74="No","Wrong publication type",IF(K74="No","Non-English",""))))))</f>
        <v/>
      </c>
      <c r="N74" s="12"/>
      <c r="O74" s="12"/>
      <c r="P74" s="13"/>
      <c r="Q74" s="13"/>
      <c r="R74" s="13"/>
      <c r="S74" s="11" t="str">
        <f>IF(N74&lt;&gt;"Yes","",IF(COUNTBLANK(P74:R74)=3,"",IF(COUNTIF(P74:R74,"No")&gt;0,"EXCLUDE","INCLUDE")))</f>
        <v/>
      </c>
      <c r="T74" s="11" t="str">
        <f>IF(S74&lt;&gt;"EXCLUDE","",IF(P74="No","Digital Twin mentioned only, not the subject",IF(Q74="No","No Design for Safety/Quality in full text",IF(R74="No","Methodology not codable",""))))</f>
        <v/>
      </c>
      <c r="U74" s="14"/>
      <c r="V74" s="14"/>
      <c r="W74" s="14"/>
      <c r="X74" s="14"/>
      <c r="Y74" s="11" t="str">
        <f>IF(SUM(V74:X74)=0,"",IF(SUM(V74:X74)&gt;=2,"Multi","Single"))</f>
        <v/>
      </c>
      <c r="Z74" s="14"/>
      <c r="AA74" s="14"/>
      <c r="AB74" s="14"/>
      <c r="AC74" s="14"/>
      <c r="AD74" s="14"/>
      <c r="AE74" s="14"/>
      <c r="AF74" s="14"/>
      <c r="AG74" s="15"/>
    </row>
    <row r="75" spans="1:33">
      <c r="A75" s="8" t="s">
        <v>199</v>
      </c>
      <c r="B75" s="9"/>
      <c r="C75" s="8"/>
      <c r="D75" s="9"/>
      <c r="E75" s="9"/>
      <c r="F75" s="8"/>
      <c r="G75" s="10"/>
      <c r="H75" s="10"/>
      <c r="I75" s="10"/>
      <c r="J75" s="10"/>
      <c r="K75" s="10"/>
      <c r="L75" s="11" t="str">
        <f>IF(COUNTBLANK(G75:K75)=5,"",IF(COUNTIF(G75:K75,"No")&gt;0,"EXCLUDE","INCLUDE"))</f>
        <v/>
      </c>
      <c r="M75" s="11" t="str">
        <f>IF(L75&lt;&gt;"EXCLUDE","",IF(G75="No","Wrong domain (non-AECO)",IF(H75="No","Digital Twin not core / buzzword",IF(I75="No","No Design for Safety/Quality/PtD",IF(J75="No","Wrong publication type",IF(K75="No","Non-English",""))))))</f>
        <v/>
      </c>
      <c r="N75" s="12"/>
      <c r="O75" s="12"/>
      <c r="P75" s="13"/>
      <c r="Q75" s="13"/>
      <c r="R75" s="13"/>
      <c r="S75" s="11" t="str">
        <f>IF(N75&lt;&gt;"Yes","",IF(COUNTBLANK(P75:R75)=3,"",IF(COUNTIF(P75:R75,"No")&gt;0,"EXCLUDE","INCLUDE")))</f>
        <v/>
      </c>
      <c r="T75" s="11" t="str">
        <f>IF(S75&lt;&gt;"EXCLUDE","",IF(P75="No","Digital Twin mentioned only, not the subject",IF(Q75="No","No Design for Safety/Quality in full text",IF(R75="No","Methodology not codable",""))))</f>
        <v/>
      </c>
      <c r="U75" s="14"/>
      <c r="V75" s="14"/>
      <c r="W75" s="14"/>
      <c r="X75" s="14"/>
      <c r="Y75" s="11" t="str">
        <f>IF(SUM(V75:X75)=0,"",IF(SUM(V75:X75)&gt;=2,"Multi","Single"))</f>
        <v/>
      </c>
      <c r="Z75" s="14"/>
      <c r="AA75" s="14"/>
      <c r="AB75" s="14"/>
      <c r="AC75" s="14"/>
      <c r="AD75" s="14"/>
      <c r="AE75" s="14"/>
      <c r="AF75" s="14"/>
      <c r="AG75" s="15"/>
    </row>
    <row r="76" spans="1:33">
      <c r="A76" s="8" t="s">
        <v>200</v>
      </c>
      <c r="B76" s="9"/>
      <c r="C76" s="8"/>
      <c r="D76" s="9"/>
      <c r="E76" s="9"/>
      <c r="F76" s="8"/>
      <c r="G76" s="10"/>
      <c r="H76" s="10"/>
      <c r="I76" s="10"/>
      <c r="J76" s="10"/>
      <c r="K76" s="10"/>
      <c r="L76" s="11" t="str">
        <f>IF(COUNTBLANK(G76:K76)=5,"",IF(COUNTIF(G76:K76,"No")&gt;0,"EXCLUDE","INCLUDE"))</f>
        <v/>
      </c>
      <c r="M76" s="11" t="str">
        <f>IF(L76&lt;&gt;"EXCLUDE","",IF(G76="No","Wrong domain (non-AECO)",IF(H76="No","Digital Twin not core / buzzword",IF(I76="No","No Design for Safety/Quality/PtD",IF(J76="No","Wrong publication type",IF(K76="No","Non-English",""))))))</f>
        <v/>
      </c>
      <c r="N76" s="12"/>
      <c r="O76" s="12"/>
      <c r="P76" s="13"/>
      <c r="Q76" s="13"/>
      <c r="R76" s="13"/>
      <c r="S76" s="11" t="str">
        <f>IF(N76&lt;&gt;"Yes","",IF(COUNTBLANK(P76:R76)=3,"",IF(COUNTIF(P76:R76,"No")&gt;0,"EXCLUDE","INCLUDE")))</f>
        <v/>
      </c>
      <c r="T76" s="11" t="str">
        <f>IF(S76&lt;&gt;"EXCLUDE","",IF(P76="No","Digital Twin mentioned only, not the subject",IF(Q76="No","No Design for Safety/Quality in full text",IF(R76="No","Methodology not codable",""))))</f>
        <v/>
      </c>
      <c r="U76" s="14"/>
      <c r="V76" s="14"/>
      <c r="W76" s="14"/>
      <c r="X76" s="14"/>
      <c r="Y76" s="11" t="str">
        <f>IF(SUM(V76:X76)=0,"",IF(SUM(V76:X76)&gt;=2,"Multi","Single"))</f>
        <v/>
      </c>
      <c r="Z76" s="14"/>
      <c r="AA76" s="14"/>
      <c r="AB76" s="14"/>
      <c r="AC76" s="14"/>
      <c r="AD76" s="14"/>
      <c r="AE76" s="14"/>
      <c r="AF76" s="14"/>
      <c r="AG76" s="15"/>
    </row>
    <row r="77" spans="1:33">
      <c r="A77" s="8" t="s">
        <v>201</v>
      </c>
      <c r="B77" s="9"/>
      <c r="C77" s="8"/>
      <c r="D77" s="9"/>
      <c r="E77" s="9"/>
      <c r="F77" s="8"/>
      <c r="G77" s="10"/>
      <c r="H77" s="10"/>
      <c r="I77" s="10"/>
      <c r="J77" s="10"/>
      <c r="K77" s="10"/>
      <c r="L77" s="11" t="str">
        <f>IF(COUNTBLANK(G77:K77)=5,"",IF(COUNTIF(G77:K77,"No")&gt;0,"EXCLUDE","INCLUDE"))</f>
        <v/>
      </c>
      <c r="M77" s="11" t="str">
        <f>IF(L77&lt;&gt;"EXCLUDE","",IF(G77="No","Wrong domain (non-AECO)",IF(H77="No","Digital Twin not core / buzzword",IF(I77="No","No Design for Safety/Quality/PtD",IF(J77="No","Wrong publication type",IF(K77="No","Non-English",""))))))</f>
        <v/>
      </c>
      <c r="N77" s="12"/>
      <c r="O77" s="12"/>
      <c r="P77" s="13"/>
      <c r="Q77" s="13"/>
      <c r="R77" s="13"/>
      <c r="S77" s="11" t="str">
        <f>IF(N77&lt;&gt;"Yes","",IF(COUNTBLANK(P77:R77)=3,"",IF(COUNTIF(P77:R77,"No")&gt;0,"EXCLUDE","INCLUDE")))</f>
        <v/>
      </c>
      <c r="T77" s="11" t="str">
        <f>IF(S77&lt;&gt;"EXCLUDE","",IF(P77="No","Digital Twin mentioned only, not the subject",IF(Q77="No","No Design for Safety/Quality in full text",IF(R77="No","Methodology not codable",""))))</f>
        <v/>
      </c>
      <c r="U77" s="14"/>
      <c r="V77" s="14"/>
      <c r="W77" s="14"/>
      <c r="X77" s="14"/>
      <c r="Y77" s="11" t="str">
        <f>IF(SUM(V77:X77)=0,"",IF(SUM(V77:X77)&gt;=2,"Multi","Single"))</f>
        <v/>
      </c>
      <c r="Z77" s="14"/>
      <c r="AA77" s="14"/>
      <c r="AB77" s="14"/>
      <c r="AC77" s="14"/>
      <c r="AD77" s="14"/>
      <c r="AE77" s="14"/>
      <c r="AF77" s="14"/>
      <c r="AG77" s="15"/>
    </row>
    <row r="78" spans="1:33">
      <c r="A78" s="8" t="s">
        <v>202</v>
      </c>
      <c r="B78" s="9"/>
      <c r="C78" s="8"/>
      <c r="D78" s="9"/>
      <c r="E78" s="9"/>
      <c r="F78" s="8"/>
      <c r="G78" s="10"/>
      <c r="H78" s="10"/>
      <c r="I78" s="10"/>
      <c r="J78" s="10"/>
      <c r="K78" s="10"/>
      <c r="L78" s="11" t="str">
        <f>IF(COUNTBLANK(G78:K78)=5,"",IF(COUNTIF(G78:K78,"No")&gt;0,"EXCLUDE","INCLUDE"))</f>
        <v/>
      </c>
      <c r="M78" s="11" t="str">
        <f>IF(L78&lt;&gt;"EXCLUDE","",IF(G78="No","Wrong domain (non-AECO)",IF(H78="No","Digital Twin not core / buzzword",IF(I78="No","No Design for Safety/Quality/PtD",IF(J78="No","Wrong publication type",IF(K78="No","Non-English",""))))))</f>
        <v/>
      </c>
      <c r="N78" s="12"/>
      <c r="O78" s="12"/>
      <c r="P78" s="13"/>
      <c r="Q78" s="13"/>
      <c r="R78" s="13"/>
      <c r="S78" s="11" t="str">
        <f>IF(N78&lt;&gt;"Yes","",IF(COUNTBLANK(P78:R78)=3,"",IF(COUNTIF(P78:R78,"No")&gt;0,"EXCLUDE","INCLUDE")))</f>
        <v/>
      </c>
      <c r="T78" s="11" t="str">
        <f>IF(S78&lt;&gt;"EXCLUDE","",IF(P78="No","Digital Twin mentioned only, not the subject",IF(Q78="No","No Design for Safety/Quality in full text",IF(R78="No","Methodology not codable",""))))</f>
        <v/>
      </c>
      <c r="U78" s="14"/>
      <c r="V78" s="14"/>
      <c r="W78" s="14"/>
      <c r="X78" s="14"/>
      <c r="Y78" s="11" t="str">
        <f>IF(SUM(V78:X78)=0,"",IF(SUM(V78:X78)&gt;=2,"Multi","Single"))</f>
        <v/>
      </c>
      <c r="Z78" s="14"/>
      <c r="AA78" s="14"/>
      <c r="AB78" s="14"/>
      <c r="AC78" s="14"/>
      <c r="AD78" s="14"/>
      <c r="AE78" s="14"/>
      <c r="AF78" s="14"/>
      <c r="AG78" s="15"/>
    </row>
    <row r="79" spans="1:33">
      <c r="A79" s="8" t="s">
        <v>203</v>
      </c>
      <c r="B79" s="9"/>
      <c r="C79" s="8"/>
      <c r="D79" s="9"/>
      <c r="E79" s="9"/>
      <c r="F79" s="8"/>
      <c r="G79" s="10"/>
      <c r="H79" s="10"/>
      <c r="I79" s="10"/>
      <c r="J79" s="10"/>
      <c r="K79" s="10"/>
      <c r="L79" s="11" t="str">
        <f>IF(COUNTBLANK(G79:K79)=5,"",IF(COUNTIF(G79:K79,"No")&gt;0,"EXCLUDE","INCLUDE"))</f>
        <v/>
      </c>
      <c r="M79" s="11" t="str">
        <f>IF(L79&lt;&gt;"EXCLUDE","",IF(G79="No","Wrong domain (non-AECO)",IF(H79="No","Digital Twin not core / buzzword",IF(I79="No","No Design for Safety/Quality/PtD",IF(J79="No","Wrong publication type",IF(K79="No","Non-English",""))))))</f>
        <v/>
      </c>
      <c r="N79" s="12"/>
      <c r="O79" s="12"/>
      <c r="P79" s="13"/>
      <c r="Q79" s="13"/>
      <c r="R79" s="13"/>
      <c r="S79" s="11" t="str">
        <f>IF(N79&lt;&gt;"Yes","",IF(COUNTBLANK(P79:R79)=3,"",IF(COUNTIF(P79:R79,"No")&gt;0,"EXCLUDE","INCLUDE")))</f>
        <v/>
      </c>
      <c r="T79" s="11" t="str">
        <f>IF(S79&lt;&gt;"EXCLUDE","",IF(P79="No","Digital Twin mentioned only, not the subject",IF(Q79="No","No Design for Safety/Quality in full text",IF(R79="No","Methodology not codable",""))))</f>
        <v/>
      </c>
      <c r="U79" s="14"/>
      <c r="V79" s="14"/>
      <c r="W79" s="14"/>
      <c r="X79" s="14"/>
      <c r="Y79" s="11" t="str">
        <f>IF(SUM(V79:X79)=0,"",IF(SUM(V79:X79)&gt;=2,"Multi","Single"))</f>
        <v/>
      </c>
      <c r="Z79" s="14"/>
      <c r="AA79" s="14"/>
      <c r="AB79" s="14"/>
      <c r="AC79" s="14"/>
      <c r="AD79" s="14"/>
      <c r="AE79" s="14"/>
      <c r="AF79" s="14"/>
      <c r="AG79" s="15"/>
    </row>
    <row r="80" spans="1:33">
      <c r="A80" s="8" t="s">
        <v>204</v>
      </c>
      <c r="B80" s="9"/>
      <c r="C80" s="8"/>
      <c r="D80" s="9"/>
      <c r="E80" s="9"/>
      <c r="F80" s="8"/>
      <c r="G80" s="10"/>
      <c r="H80" s="10"/>
      <c r="I80" s="10"/>
      <c r="J80" s="10"/>
      <c r="K80" s="10"/>
      <c r="L80" s="11" t="str">
        <f>IF(COUNTBLANK(G80:K80)=5,"",IF(COUNTIF(G80:K80,"No")&gt;0,"EXCLUDE","INCLUDE"))</f>
        <v/>
      </c>
      <c r="M80" s="11" t="str">
        <f>IF(L80&lt;&gt;"EXCLUDE","",IF(G80="No","Wrong domain (non-AECO)",IF(H80="No","Digital Twin not core / buzzword",IF(I80="No","No Design for Safety/Quality/PtD",IF(J80="No","Wrong publication type",IF(K80="No","Non-English",""))))))</f>
        <v/>
      </c>
      <c r="N80" s="12"/>
      <c r="O80" s="12"/>
      <c r="P80" s="13"/>
      <c r="Q80" s="13"/>
      <c r="R80" s="13"/>
      <c r="S80" s="11" t="str">
        <f>IF(N80&lt;&gt;"Yes","",IF(COUNTBLANK(P80:R80)=3,"",IF(COUNTIF(P80:R80,"No")&gt;0,"EXCLUDE","INCLUDE")))</f>
        <v/>
      </c>
      <c r="T80" s="11" t="str">
        <f>IF(S80&lt;&gt;"EXCLUDE","",IF(P80="No","Digital Twin mentioned only, not the subject",IF(Q80="No","No Design for Safety/Quality in full text",IF(R80="No","Methodology not codable",""))))</f>
        <v/>
      </c>
      <c r="U80" s="14"/>
      <c r="V80" s="14"/>
      <c r="W80" s="14"/>
      <c r="X80" s="14"/>
      <c r="Y80" s="11" t="str">
        <f>IF(SUM(V80:X80)=0,"",IF(SUM(V80:X80)&gt;=2,"Multi","Single"))</f>
        <v/>
      </c>
      <c r="Z80" s="14"/>
      <c r="AA80" s="14"/>
      <c r="AB80" s="14"/>
      <c r="AC80" s="14"/>
      <c r="AD80" s="14"/>
      <c r="AE80" s="14"/>
      <c r="AF80" s="14"/>
      <c r="AG80" s="15"/>
    </row>
    <row r="81" spans="1:33">
      <c r="A81" s="8" t="s">
        <v>205</v>
      </c>
      <c r="B81" s="9"/>
      <c r="C81" s="8"/>
      <c r="D81" s="9"/>
      <c r="E81" s="9"/>
      <c r="F81" s="8"/>
      <c r="G81" s="10"/>
      <c r="H81" s="10"/>
      <c r="I81" s="10"/>
      <c r="J81" s="10"/>
      <c r="K81" s="10"/>
      <c r="L81" s="11" t="str">
        <f>IF(COUNTBLANK(G81:K81)=5,"",IF(COUNTIF(G81:K81,"No")&gt;0,"EXCLUDE","INCLUDE"))</f>
        <v/>
      </c>
      <c r="M81" s="11" t="str">
        <f>IF(L81&lt;&gt;"EXCLUDE","",IF(G81="No","Wrong domain (non-AECO)",IF(H81="No","Digital Twin not core / buzzword",IF(I81="No","No Design for Safety/Quality/PtD",IF(J81="No","Wrong publication type",IF(K81="No","Non-English",""))))))</f>
        <v/>
      </c>
      <c r="N81" s="12"/>
      <c r="O81" s="12"/>
      <c r="P81" s="13"/>
      <c r="Q81" s="13"/>
      <c r="R81" s="13"/>
      <c r="S81" s="11" t="str">
        <f>IF(N81&lt;&gt;"Yes","",IF(COUNTBLANK(P81:R81)=3,"",IF(COUNTIF(P81:R81,"No")&gt;0,"EXCLUDE","INCLUDE")))</f>
        <v/>
      </c>
      <c r="T81" s="11" t="str">
        <f>IF(S81&lt;&gt;"EXCLUDE","",IF(P81="No","Digital Twin mentioned only, not the subject",IF(Q81="No","No Design for Safety/Quality in full text",IF(R81="No","Methodology not codable",""))))</f>
        <v/>
      </c>
      <c r="U81" s="14"/>
      <c r="V81" s="14"/>
      <c r="W81" s="14"/>
      <c r="X81" s="14"/>
      <c r="Y81" s="11" t="str">
        <f>IF(SUM(V81:X81)=0,"",IF(SUM(V81:X81)&gt;=2,"Multi","Single"))</f>
        <v/>
      </c>
      <c r="Z81" s="14"/>
      <c r="AA81" s="14"/>
      <c r="AB81" s="14"/>
      <c r="AC81" s="14"/>
      <c r="AD81" s="14"/>
      <c r="AE81" s="14"/>
      <c r="AF81" s="14"/>
      <c r="AG81" s="15"/>
    </row>
    <row r="82" spans="1:33">
      <c r="A82" s="8" t="s">
        <v>206</v>
      </c>
      <c r="B82" s="9"/>
      <c r="C82" s="8"/>
      <c r="D82" s="9"/>
      <c r="E82" s="9"/>
      <c r="F82" s="8"/>
      <c r="G82" s="10"/>
      <c r="H82" s="10"/>
      <c r="I82" s="10"/>
      <c r="J82" s="10"/>
      <c r="K82" s="10"/>
      <c r="L82" s="11" t="str">
        <f>IF(COUNTBLANK(G82:K82)=5,"",IF(COUNTIF(G82:K82,"No")&gt;0,"EXCLUDE","INCLUDE"))</f>
        <v/>
      </c>
      <c r="M82" s="11" t="str">
        <f>IF(L82&lt;&gt;"EXCLUDE","",IF(G82="No","Wrong domain (non-AECO)",IF(H82="No","Digital Twin not core / buzzword",IF(I82="No","No Design for Safety/Quality/PtD",IF(J82="No","Wrong publication type",IF(K82="No","Non-English",""))))))</f>
        <v/>
      </c>
      <c r="N82" s="12"/>
      <c r="O82" s="12"/>
      <c r="P82" s="13"/>
      <c r="Q82" s="13"/>
      <c r="R82" s="13"/>
      <c r="S82" s="11" t="str">
        <f>IF(N82&lt;&gt;"Yes","",IF(COUNTBLANK(P82:R82)=3,"",IF(COUNTIF(P82:R82,"No")&gt;0,"EXCLUDE","INCLUDE")))</f>
        <v/>
      </c>
      <c r="T82" s="11" t="str">
        <f>IF(S82&lt;&gt;"EXCLUDE","",IF(P82="No","Digital Twin mentioned only, not the subject",IF(Q82="No","No Design for Safety/Quality in full text",IF(R82="No","Methodology not codable",""))))</f>
        <v/>
      </c>
      <c r="U82" s="14"/>
      <c r="V82" s="14"/>
      <c r="W82" s="14"/>
      <c r="X82" s="14"/>
      <c r="Y82" s="11" t="str">
        <f>IF(SUM(V82:X82)=0,"",IF(SUM(V82:X82)&gt;=2,"Multi","Single"))</f>
        <v/>
      </c>
      <c r="Z82" s="14"/>
      <c r="AA82" s="14"/>
      <c r="AB82" s="14"/>
      <c r="AC82" s="14"/>
      <c r="AD82" s="14"/>
      <c r="AE82" s="14"/>
      <c r="AF82" s="14"/>
      <c r="AG82" s="15"/>
    </row>
    <row r="83" spans="1:33">
      <c r="A83" s="8" t="s">
        <v>207</v>
      </c>
      <c r="B83" s="9"/>
      <c r="C83" s="8"/>
      <c r="D83" s="9"/>
      <c r="E83" s="9"/>
      <c r="F83" s="8"/>
      <c r="G83" s="10"/>
      <c r="H83" s="10"/>
      <c r="I83" s="10"/>
      <c r="J83" s="10"/>
      <c r="K83" s="10"/>
      <c r="L83" s="11" t="str">
        <f>IF(COUNTBLANK(G83:K83)=5,"",IF(COUNTIF(G83:K83,"No")&gt;0,"EXCLUDE","INCLUDE"))</f>
        <v/>
      </c>
      <c r="M83" s="11" t="str">
        <f>IF(L83&lt;&gt;"EXCLUDE","",IF(G83="No","Wrong domain (non-AECO)",IF(H83="No","Digital Twin not core / buzzword",IF(I83="No","No Design for Safety/Quality/PtD",IF(J83="No","Wrong publication type",IF(K83="No","Non-English",""))))))</f>
        <v/>
      </c>
      <c r="N83" s="12"/>
      <c r="O83" s="12"/>
      <c r="P83" s="13"/>
      <c r="Q83" s="13"/>
      <c r="R83" s="13"/>
      <c r="S83" s="11" t="str">
        <f>IF(N83&lt;&gt;"Yes","",IF(COUNTBLANK(P83:R83)=3,"",IF(COUNTIF(P83:R83,"No")&gt;0,"EXCLUDE","INCLUDE")))</f>
        <v/>
      </c>
      <c r="T83" s="11" t="str">
        <f>IF(S83&lt;&gt;"EXCLUDE","",IF(P83="No","Digital Twin mentioned only, not the subject",IF(Q83="No","No Design for Safety/Quality in full text",IF(R83="No","Methodology not codable",""))))</f>
        <v/>
      </c>
      <c r="U83" s="14"/>
      <c r="V83" s="14"/>
      <c r="W83" s="14"/>
      <c r="X83" s="14"/>
      <c r="Y83" s="11" t="str">
        <f>IF(SUM(V83:X83)=0,"",IF(SUM(V83:X83)&gt;=2,"Multi","Single"))</f>
        <v/>
      </c>
      <c r="Z83" s="14"/>
      <c r="AA83" s="14"/>
      <c r="AB83" s="14"/>
      <c r="AC83" s="14"/>
      <c r="AD83" s="14"/>
      <c r="AE83" s="14"/>
      <c r="AF83" s="14"/>
      <c r="AG83" s="15"/>
    </row>
    <row r="84" spans="1:33">
      <c r="A84" s="8" t="s">
        <v>208</v>
      </c>
      <c r="B84" s="9"/>
      <c r="C84" s="8"/>
      <c r="D84" s="9"/>
      <c r="E84" s="9"/>
      <c r="F84" s="8"/>
      <c r="G84" s="10"/>
      <c r="H84" s="10"/>
      <c r="I84" s="10"/>
      <c r="J84" s="10"/>
      <c r="K84" s="10"/>
      <c r="L84" s="11" t="str">
        <f>IF(COUNTBLANK(G84:K84)=5,"",IF(COUNTIF(G84:K84,"No")&gt;0,"EXCLUDE","INCLUDE"))</f>
        <v/>
      </c>
      <c r="M84" s="11" t="str">
        <f>IF(L84&lt;&gt;"EXCLUDE","",IF(G84="No","Wrong domain (non-AECO)",IF(H84="No","Digital Twin not core / buzzword",IF(I84="No","No Design for Safety/Quality/PtD",IF(J84="No","Wrong publication type",IF(K84="No","Non-English",""))))))</f>
        <v/>
      </c>
      <c r="N84" s="12"/>
      <c r="O84" s="12"/>
      <c r="P84" s="13"/>
      <c r="Q84" s="13"/>
      <c r="R84" s="13"/>
      <c r="S84" s="11" t="str">
        <f>IF(N84&lt;&gt;"Yes","",IF(COUNTBLANK(P84:R84)=3,"",IF(COUNTIF(P84:R84,"No")&gt;0,"EXCLUDE","INCLUDE")))</f>
        <v/>
      </c>
      <c r="T84" s="11" t="str">
        <f>IF(S84&lt;&gt;"EXCLUDE","",IF(P84="No","Digital Twin mentioned only, not the subject",IF(Q84="No","No Design for Safety/Quality in full text",IF(R84="No","Methodology not codable",""))))</f>
        <v/>
      </c>
      <c r="U84" s="14"/>
      <c r="V84" s="14"/>
      <c r="W84" s="14"/>
      <c r="X84" s="14"/>
      <c r="Y84" s="11" t="str">
        <f>IF(SUM(V84:X84)=0,"",IF(SUM(V84:X84)&gt;=2,"Multi","Single"))</f>
        <v/>
      </c>
      <c r="Z84" s="14"/>
      <c r="AA84" s="14"/>
      <c r="AB84" s="14"/>
      <c r="AC84" s="14"/>
      <c r="AD84" s="14"/>
      <c r="AE84" s="14"/>
      <c r="AF84" s="14"/>
      <c r="AG84" s="15"/>
    </row>
    <row r="85" spans="1:33">
      <c r="A85" s="8" t="s">
        <v>209</v>
      </c>
      <c r="B85" s="9"/>
      <c r="C85" s="8"/>
      <c r="D85" s="9"/>
      <c r="E85" s="9"/>
      <c r="F85" s="8"/>
      <c r="G85" s="10"/>
      <c r="H85" s="10"/>
      <c r="I85" s="10"/>
      <c r="J85" s="10"/>
      <c r="K85" s="10"/>
      <c r="L85" s="11" t="str">
        <f>IF(COUNTBLANK(G85:K85)=5,"",IF(COUNTIF(G85:K85,"No")&gt;0,"EXCLUDE","INCLUDE"))</f>
        <v/>
      </c>
      <c r="M85" s="11" t="str">
        <f>IF(L85&lt;&gt;"EXCLUDE","",IF(G85="No","Wrong domain (non-AECO)",IF(H85="No","Digital Twin not core / buzzword",IF(I85="No","No Design for Safety/Quality/PtD",IF(J85="No","Wrong publication type",IF(K85="No","Non-English",""))))))</f>
        <v/>
      </c>
      <c r="N85" s="12"/>
      <c r="O85" s="12"/>
      <c r="P85" s="13"/>
      <c r="Q85" s="13"/>
      <c r="R85" s="13"/>
      <c r="S85" s="11" t="str">
        <f>IF(N85&lt;&gt;"Yes","",IF(COUNTBLANK(P85:R85)=3,"",IF(COUNTIF(P85:R85,"No")&gt;0,"EXCLUDE","INCLUDE")))</f>
        <v/>
      </c>
      <c r="T85" s="11" t="str">
        <f>IF(S85&lt;&gt;"EXCLUDE","",IF(P85="No","Digital Twin mentioned only, not the subject",IF(Q85="No","No Design for Safety/Quality in full text",IF(R85="No","Methodology not codable",""))))</f>
        <v/>
      </c>
      <c r="U85" s="14"/>
      <c r="V85" s="14"/>
      <c r="W85" s="14"/>
      <c r="X85" s="14"/>
      <c r="Y85" s="11" t="str">
        <f>IF(SUM(V85:X85)=0,"",IF(SUM(V85:X85)&gt;=2,"Multi","Single"))</f>
        <v/>
      </c>
      <c r="Z85" s="14"/>
      <c r="AA85" s="14"/>
      <c r="AB85" s="14"/>
      <c r="AC85" s="14"/>
      <c r="AD85" s="14"/>
      <c r="AE85" s="14"/>
      <c r="AF85" s="14"/>
      <c r="AG85" s="15"/>
    </row>
    <row r="86" spans="1:33">
      <c r="A86" s="8" t="s">
        <v>210</v>
      </c>
      <c r="B86" s="9"/>
      <c r="C86" s="8"/>
      <c r="D86" s="9"/>
      <c r="E86" s="9"/>
      <c r="F86" s="8"/>
      <c r="G86" s="10"/>
      <c r="H86" s="10"/>
      <c r="I86" s="10"/>
      <c r="J86" s="10"/>
      <c r="K86" s="10"/>
      <c r="L86" s="11" t="str">
        <f>IF(COUNTBLANK(G86:K86)=5,"",IF(COUNTIF(G86:K86,"No")&gt;0,"EXCLUDE","INCLUDE"))</f>
        <v/>
      </c>
      <c r="M86" s="11" t="str">
        <f>IF(L86&lt;&gt;"EXCLUDE","",IF(G86="No","Wrong domain (non-AECO)",IF(H86="No","Digital Twin not core / buzzword",IF(I86="No","No Design for Safety/Quality/PtD",IF(J86="No","Wrong publication type",IF(K86="No","Non-English",""))))))</f>
        <v/>
      </c>
      <c r="N86" s="12"/>
      <c r="O86" s="12"/>
      <c r="P86" s="13"/>
      <c r="Q86" s="13"/>
      <c r="R86" s="13"/>
      <c r="S86" s="11" t="str">
        <f>IF(N86&lt;&gt;"Yes","",IF(COUNTBLANK(P86:R86)=3,"",IF(COUNTIF(P86:R86,"No")&gt;0,"EXCLUDE","INCLUDE")))</f>
        <v/>
      </c>
      <c r="T86" s="11" t="str">
        <f>IF(S86&lt;&gt;"EXCLUDE","",IF(P86="No","Digital Twin mentioned only, not the subject",IF(Q86="No","No Design for Safety/Quality in full text",IF(R86="No","Methodology not codable",""))))</f>
        <v/>
      </c>
      <c r="U86" s="14"/>
      <c r="V86" s="14"/>
      <c r="W86" s="14"/>
      <c r="X86" s="14"/>
      <c r="Y86" s="11" t="str">
        <f>IF(SUM(V86:X86)=0,"",IF(SUM(V86:X86)&gt;=2,"Multi","Single"))</f>
        <v/>
      </c>
      <c r="Z86" s="14"/>
      <c r="AA86" s="14"/>
      <c r="AB86" s="14"/>
      <c r="AC86" s="14"/>
      <c r="AD86" s="14"/>
      <c r="AE86" s="14"/>
      <c r="AF86" s="14"/>
      <c r="AG86" s="15"/>
    </row>
    <row r="87" spans="1:33">
      <c r="A87" s="8" t="s">
        <v>211</v>
      </c>
      <c r="B87" s="9"/>
      <c r="C87" s="8"/>
      <c r="D87" s="9"/>
      <c r="E87" s="9"/>
      <c r="F87" s="8"/>
      <c r="G87" s="10"/>
      <c r="H87" s="10"/>
      <c r="I87" s="10"/>
      <c r="J87" s="10"/>
      <c r="K87" s="10"/>
      <c r="L87" s="11" t="str">
        <f>IF(COUNTBLANK(G87:K87)=5,"",IF(COUNTIF(G87:K87,"No")&gt;0,"EXCLUDE","INCLUDE"))</f>
        <v/>
      </c>
      <c r="M87" s="11" t="str">
        <f>IF(L87&lt;&gt;"EXCLUDE","",IF(G87="No","Wrong domain (non-AECO)",IF(H87="No","Digital Twin not core / buzzword",IF(I87="No","No Design for Safety/Quality/PtD",IF(J87="No","Wrong publication type",IF(K87="No","Non-English",""))))))</f>
        <v/>
      </c>
      <c r="N87" s="12"/>
      <c r="O87" s="12"/>
      <c r="P87" s="13"/>
      <c r="Q87" s="13"/>
      <c r="R87" s="13"/>
      <c r="S87" s="11" t="str">
        <f>IF(N87&lt;&gt;"Yes","",IF(COUNTBLANK(P87:R87)=3,"",IF(COUNTIF(P87:R87,"No")&gt;0,"EXCLUDE","INCLUDE")))</f>
        <v/>
      </c>
      <c r="T87" s="11" t="str">
        <f>IF(S87&lt;&gt;"EXCLUDE","",IF(P87="No","Digital Twin mentioned only, not the subject",IF(Q87="No","No Design for Safety/Quality in full text",IF(R87="No","Methodology not codable",""))))</f>
        <v/>
      </c>
      <c r="U87" s="14"/>
      <c r="V87" s="14"/>
      <c r="W87" s="14"/>
      <c r="X87" s="14"/>
      <c r="Y87" s="11" t="str">
        <f>IF(SUM(V87:X87)=0,"",IF(SUM(V87:X87)&gt;=2,"Multi","Single"))</f>
        <v/>
      </c>
      <c r="Z87" s="14"/>
      <c r="AA87" s="14"/>
      <c r="AB87" s="14"/>
      <c r="AC87" s="14"/>
      <c r="AD87" s="14"/>
      <c r="AE87" s="14"/>
      <c r="AF87" s="14"/>
      <c r="AG87" s="15"/>
    </row>
    <row r="88" spans="1:33">
      <c r="A88" s="8" t="s">
        <v>212</v>
      </c>
      <c r="B88" s="9"/>
      <c r="C88" s="8"/>
      <c r="D88" s="9"/>
      <c r="E88" s="9"/>
      <c r="F88" s="8"/>
      <c r="G88" s="10"/>
      <c r="H88" s="10"/>
      <c r="I88" s="10"/>
      <c r="J88" s="10"/>
      <c r="K88" s="10"/>
      <c r="L88" s="11" t="str">
        <f>IF(COUNTBLANK(G88:K88)=5,"",IF(COUNTIF(G88:K88,"No")&gt;0,"EXCLUDE","INCLUDE"))</f>
        <v/>
      </c>
      <c r="M88" s="11" t="str">
        <f>IF(L88&lt;&gt;"EXCLUDE","",IF(G88="No","Wrong domain (non-AECO)",IF(H88="No","Digital Twin not core / buzzword",IF(I88="No","No Design for Safety/Quality/PtD",IF(J88="No","Wrong publication type",IF(K88="No","Non-English",""))))))</f>
        <v/>
      </c>
      <c r="N88" s="12"/>
      <c r="O88" s="12"/>
      <c r="P88" s="13"/>
      <c r="Q88" s="13"/>
      <c r="R88" s="13"/>
      <c r="S88" s="11" t="str">
        <f>IF(N88&lt;&gt;"Yes","",IF(COUNTBLANK(P88:R88)=3,"",IF(COUNTIF(P88:R88,"No")&gt;0,"EXCLUDE","INCLUDE")))</f>
        <v/>
      </c>
      <c r="T88" s="11" t="str">
        <f>IF(S88&lt;&gt;"EXCLUDE","",IF(P88="No","Digital Twin mentioned only, not the subject",IF(Q88="No","No Design for Safety/Quality in full text",IF(R88="No","Methodology not codable",""))))</f>
        <v/>
      </c>
      <c r="U88" s="14"/>
      <c r="V88" s="14"/>
      <c r="W88" s="14"/>
      <c r="X88" s="14"/>
      <c r="Y88" s="11" t="str">
        <f>IF(SUM(V88:X88)=0,"",IF(SUM(V88:X88)&gt;=2,"Multi","Single"))</f>
        <v/>
      </c>
      <c r="Z88" s="14"/>
      <c r="AA88" s="14"/>
      <c r="AB88" s="14"/>
      <c r="AC88" s="14"/>
      <c r="AD88" s="14"/>
      <c r="AE88" s="14"/>
      <c r="AF88" s="14"/>
      <c r="AG88" s="15"/>
    </row>
    <row r="89" spans="1:33">
      <c r="A89" s="8" t="s">
        <v>213</v>
      </c>
      <c r="B89" s="9"/>
      <c r="C89" s="8"/>
      <c r="D89" s="9"/>
      <c r="E89" s="9"/>
      <c r="F89" s="8"/>
      <c r="G89" s="10"/>
      <c r="H89" s="10"/>
      <c r="I89" s="10"/>
      <c r="J89" s="10"/>
      <c r="K89" s="10"/>
      <c r="L89" s="11" t="str">
        <f>IF(COUNTBLANK(G89:K89)=5,"",IF(COUNTIF(G89:K89,"No")&gt;0,"EXCLUDE","INCLUDE"))</f>
        <v/>
      </c>
      <c r="M89" s="11" t="str">
        <f>IF(L89&lt;&gt;"EXCLUDE","",IF(G89="No","Wrong domain (non-AECO)",IF(H89="No","Digital Twin not core / buzzword",IF(I89="No","No Design for Safety/Quality/PtD",IF(J89="No","Wrong publication type",IF(K89="No","Non-English",""))))))</f>
        <v/>
      </c>
      <c r="N89" s="12"/>
      <c r="O89" s="12"/>
      <c r="P89" s="13"/>
      <c r="Q89" s="13"/>
      <c r="R89" s="13"/>
      <c r="S89" s="11" t="str">
        <f>IF(N89&lt;&gt;"Yes","",IF(COUNTBLANK(P89:R89)=3,"",IF(COUNTIF(P89:R89,"No")&gt;0,"EXCLUDE","INCLUDE")))</f>
        <v/>
      </c>
      <c r="T89" s="11" t="str">
        <f>IF(S89&lt;&gt;"EXCLUDE","",IF(P89="No","Digital Twin mentioned only, not the subject",IF(Q89="No","No Design for Safety/Quality in full text",IF(R89="No","Methodology not codable",""))))</f>
        <v/>
      </c>
      <c r="U89" s="14"/>
      <c r="V89" s="14"/>
      <c r="W89" s="14"/>
      <c r="X89" s="14"/>
      <c r="Y89" s="11" t="str">
        <f>IF(SUM(V89:X89)=0,"",IF(SUM(V89:X89)&gt;=2,"Multi","Single"))</f>
        <v/>
      </c>
      <c r="Z89" s="14"/>
      <c r="AA89" s="14"/>
      <c r="AB89" s="14"/>
      <c r="AC89" s="14"/>
      <c r="AD89" s="14"/>
      <c r="AE89" s="14"/>
      <c r="AF89" s="14"/>
      <c r="AG89" s="15"/>
    </row>
    <row r="90" spans="1:33">
      <c r="A90" s="8" t="s">
        <v>214</v>
      </c>
      <c r="B90" s="9"/>
      <c r="C90" s="8"/>
      <c r="D90" s="9"/>
      <c r="E90" s="9"/>
      <c r="F90" s="8"/>
      <c r="G90" s="10"/>
      <c r="H90" s="10"/>
      <c r="I90" s="10"/>
      <c r="J90" s="10"/>
      <c r="K90" s="10"/>
      <c r="L90" s="11" t="str">
        <f>IF(COUNTBLANK(G90:K90)=5,"",IF(COUNTIF(G90:K90,"No")&gt;0,"EXCLUDE","INCLUDE"))</f>
        <v/>
      </c>
      <c r="M90" s="11" t="str">
        <f>IF(L90&lt;&gt;"EXCLUDE","",IF(G90="No","Wrong domain (non-AECO)",IF(H90="No","Digital Twin not core / buzzword",IF(I90="No","No Design for Safety/Quality/PtD",IF(J90="No","Wrong publication type",IF(K90="No","Non-English",""))))))</f>
        <v/>
      </c>
      <c r="N90" s="12"/>
      <c r="O90" s="12"/>
      <c r="P90" s="13"/>
      <c r="Q90" s="13"/>
      <c r="R90" s="13"/>
      <c r="S90" s="11" t="str">
        <f>IF(N90&lt;&gt;"Yes","",IF(COUNTBLANK(P90:R90)=3,"",IF(COUNTIF(P90:R90,"No")&gt;0,"EXCLUDE","INCLUDE")))</f>
        <v/>
      </c>
      <c r="T90" s="11" t="str">
        <f>IF(S90&lt;&gt;"EXCLUDE","",IF(P90="No","Digital Twin mentioned only, not the subject",IF(Q90="No","No Design for Safety/Quality in full text",IF(R90="No","Methodology not codable",""))))</f>
        <v/>
      </c>
      <c r="U90" s="14"/>
      <c r="V90" s="14"/>
      <c r="W90" s="14"/>
      <c r="X90" s="14"/>
      <c r="Y90" s="11" t="str">
        <f>IF(SUM(V90:X90)=0,"",IF(SUM(V90:X90)&gt;=2,"Multi","Single"))</f>
        <v/>
      </c>
      <c r="Z90" s="14"/>
      <c r="AA90" s="14"/>
      <c r="AB90" s="14"/>
      <c r="AC90" s="14"/>
      <c r="AD90" s="14"/>
      <c r="AE90" s="14"/>
      <c r="AF90" s="14"/>
      <c r="AG90" s="15"/>
    </row>
    <row r="91" spans="1:33">
      <c r="A91" s="8" t="s">
        <v>215</v>
      </c>
      <c r="B91" s="9"/>
      <c r="C91" s="8"/>
      <c r="D91" s="9"/>
      <c r="E91" s="9"/>
      <c r="F91" s="8"/>
      <c r="G91" s="10"/>
      <c r="H91" s="10"/>
      <c r="I91" s="10"/>
      <c r="J91" s="10"/>
      <c r="K91" s="10"/>
      <c r="L91" s="11" t="str">
        <f>IF(COUNTBLANK(G91:K91)=5,"",IF(COUNTIF(G91:K91,"No")&gt;0,"EXCLUDE","INCLUDE"))</f>
        <v/>
      </c>
      <c r="M91" s="11" t="str">
        <f>IF(L91&lt;&gt;"EXCLUDE","",IF(G91="No","Wrong domain (non-AECO)",IF(H91="No","Digital Twin not core / buzzword",IF(I91="No","No Design for Safety/Quality/PtD",IF(J91="No","Wrong publication type",IF(K91="No","Non-English",""))))))</f>
        <v/>
      </c>
      <c r="N91" s="12"/>
      <c r="O91" s="12"/>
      <c r="P91" s="13"/>
      <c r="Q91" s="13"/>
      <c r="R91" s="13"/>
      <c r="S91" s="11" t="str">
        <f>IF(N91&lt;&gt;"Yes","",IF(COUNTBLANK(P91:R91)=3,"",IF(COUNTIF(P91:R91,"No")&gt;0,"EXCLUDE","INCLUDE")))</f>
        <v/>
      </c>
      <c r="T91" s="11" t="str">
        <f>IF(S91&lt;&gt;"EXCLUDE","",IF(P91="No","Digital Twin mentioned only, not the subject",IF(Q91="No","No Design for Safety/Quality in full text",IF(R91="No","Methodology not codable",""))))</f>
        <v/>
      </c>
      <c r="U91" s="14"/>
      <c r="V91" s="14"/>
      <c r="W91" s="14"/>
      <c r="X91" s="14"/>
      <c r="Y91" s="11" t="str">
        <f>IF(SUM(V91:X91)=0,"",IF(SUM(V91:X91)&gt;=2,"Multi","Single"))</f>
        <v/>
      </c>
      <c r="Z91" s="14"/>
      <c r="AA91" s="14"/>
      <c r="AB91" s="14"/>
      <c r="AC91" s="14"/>
      <c r="AD91" s="14"/>
      <c r="AE91" s="14"/>
      <c r="AF91" s="14"/>
      <c r="AG91" s="15"/>
    </row>
    <row r="92" spans="1:33">
      <c r="A92" s="8" t="s">
        <v>216</v>
      </c>
      <c r="B92" s="9"/>
      <c r="C92" s="8"/>
      <c r="D92" s="9"/>
      <c r="E92" s="9"/>
      <c r="F92" s="8"/>
      <c r="G92" s="10"/>
      <c r="H92" s="10"/>
      <c r="I92" s="10"/>
      <c r="J92" s="10"/>
      <c r="K92" s="10"/>
      <c r="L92" s="11" t="str">
        <f>IF(COUNTBLANK(G92:K92)=5,"",IF(COUNTIF(G92:K92,"No")&gt;0,"EXCLUDE","INCLUDE"))</f>
        <v/>
      </c>
      <c r="M92" s="11" t="str">
        <f>IF(L92&lt;&gt;"EXCLUDE","",IF(G92="No","Wrong domain (non-AECO)",IF(H92="No","Digital Twin not core / buzzword",IF(I92="No","No Design for Safety/Quality/PtD",IF(J92="No","Wrong publication type",IF(K92="No","Non-English",""))))))</f>
        <v/>
      </c>
      <c r="N92" s="12"/>
      <c r="O92" s="12"/>
      <c r="P92" s="13"/>
      <c r="Q92" s="13"/>
      <c r="R92" s="13"/>
      <c r="S92" s="11" t="str">
        <f>IF(N92&lt;&gt;"Yes","",IF(COUNTBLANK(P92:R92)=3,"",IF(COUNTIF(P92:R92,"No")&gt;0,"EXCLUDE","INCLUDE")))</f>
        <v/>
      </c>
      <c r="T92" s="11" t="str">
        <f>IF(S92&lt;&gt;"EXCLUDE","",IF(P92="No","Digital Twin mentioned only, not the subject",IF(Q92="No","No Design for Safety/Quality in full text",IF(R92="No","Methodology not codable",""))))</f>
        <v/>
      </c>
      <c r="U92" s="14"/>
      <c r="V92" s="14"/>
      <c r="W92" s="14"/>
      <c r="X92" s="14"/>
      <c r="Y92" s="11" t="str">
        <f>IF(SUM(V92:X92)=0,"",IF(SUM(V92:X92)&gt;=2,"Multi","Single"))</f>
        <v/>
      </c>
      <c r="Z92" s="14"/>
      <c r="AA92" s="14"/>
      <c r="AB92" s="14"/>
      <c r="AC92" s="14"/>
      <c r="AD92" s="14"/>
      <c r="AE92" s="14"/>
      <c r="AF92" s="14"/>
      <c r="AG92" s="15"/>
    </row>
    <row r="93" spans="1:33">
      <c r="A93" s="8" t="s">
        <v>217</v>
      </c>
      <c r="B93" s="9"/>
      <c r="C93" s="8"/>
      <c r="D93" s="9"/>
      <c r="E93" s="9"/>
      <c r="F93" s="8"/>
      <c r="G93" s="10"/>
      <c r="H93" s="10"/>
      <c r="I93" s="10"/>
      <c r="J93" s="10"/>
      <c r="K93" s="10"/>
      <c r="L93" s="11" t="str">
        <f>IF(COUNTBLANK(G93:K93)=5,"",IF(COUNTIF(G93:K93,"No")&gt;0,"EXCLUDE","INCLUDE"))</f>
        <v/>
      </c>
      <c r="M93" s="11" t="str">
        <f>IF(L93&lt;&gt;"EXCLUDE","",IF(G93="No","Wrong domain (non-AECO)",IF(H93="No","Digital Twin not core / buzzword",IF(I93="No","No Design for Safety/Quality/PtD",IF(J93="No","Wrong publication type",IF(K93="No","Non-English",""))))))</f>
        <v/>
      </c>
      <c r="N93" s="12"/>
      <c r="O93" s="12"/>
      <c r="P93" s="13"/>
      <c r="Q93" s="13"/>
      <c r="R93" s="13"/>
      <c r="S93" s="11" t="str">
        <f>IF(N93&lt;&gt;"Yes","",IF(COUNTBLANK(P93:R93)=3,"",IF(COUNTIF(P93:R93,"No")&gt;0,"EXCLUDE","INCLUDE")))</f>
        <v/>
      </c>
      <c r="T93" s="11" t="str">
        <f>IF(S93&lt;&gt;"EXCLUDE","",IF(P93="No","Digital Twin mentioned only, not the subject",IF(Q93="No","No Design for Safety/Quality in full text",IF(R93="No","Methodology not codable",""))))</f>
        <v/>
      </c>
      <c r="U93" s="14"/>
      <c r="V93" s="14"/>
      <c r="W93" s="14"/>
      <c r="X93" s="14"/>
      <c r="Y93" s="11" t="str">
        <f>IF(SUM(V93:X93)=0,"",IF(SUM(V93:X93)&gt;=2,"Multi","Single"))</f>
        <v/>
      </c>
      <c r="Z93" s="14"/>
      <c r="AA93" s="14"/>
      <c r="AB93" s="14"/>
      <c r="AC93" s="14"/>
      <c r="AD93" s="14"/>
      <c r="AE93" s="14"/>
      <c r="AF93" s="14"/>
      <c r="AG93" s="15"/>
    </row>
    <row r="94" spans="1:33">
      <c r="A94" s="8" t="s">
        <v>218</v>
      </c>
      <c r="B94" s="9"/>
      <c r="C94" s="8"/>
      <c r="D94" s="9"/>
      <c r="E94" s="9"/>
      <c r="F94" s="8"/>
      <c r="G94" s="10"/>
      <c r="H94" s="10"/>
      <c r="I94" s="10"/>
      <c r="J94" s="10"/>
      <c r="K94" s="10"/>
      <c r="L94" s="11" t="str">
        <f>IF(COUNTBLANK(G94:K94)=5,"",IF(COUNTIF(G94:K94,"No")&gt;0,"EXCLUDE","INCLUDE"))</f>
        <v/>
      </c>
      <c r="M94" s="11" t="str">
        <f>IF(L94&lt;&gt;"EXCLUDE","",IF(G94="No","Wrong domain (non-AECO)",IF(H94="No","Digital Twin not core / buzzword",IF(I94="No","No Design for Safety/Quality/PtD",IF(J94="No","Wrong publication type",IF(K94="No","Non-English",""))))))</f>
        <v/>
      </c>
      <c r="N94" s="12"/>
      <c r="O94" s="12"/>
      <c r="P94" s="13"/>
      <c r="Q94" s="13"/>
      <c r="R94" s="13"/>
      <c r="S94" s="11" t="str">
        <f>IF(N94&lt;&gt;"Yes","",IF(COUNTBLANK(P94:R94)=3,"",IF(COUNTIF(P94:R94,"No")&gt;0,"EXCLUDE","INCLUDE")))</f>
        <v/>
      </c>
      <c r="T94" s="11" t="str">
        <f>IF(S94&lt;&gt;"EXCLUDE","",IF(P94="No","Digital Twin mentioned only, not the subject",IF(Q94="No","No Design for Safety/Quality in full text",IF(R94="No","Methodology not codable",""))))</f>
        <v/>
      </c>
      <c r="U94" s="14"/>
      <c r="V94" s="14"/>
      <c r="W94" s="14"/>
      <c r="X94" s="14"/>
      <c r="Y94" s="11" t="str">
        <f>IF(SUM(V94:X94)=0,"",IF(SUM(V94:X94)&gt;=2,"Multi","Single"))</f>
        <v/>
      </c>
      <c r="Z94" s="14"/>
      <c r="AA94" s="14"/>
      <c r="AB94" s="14"/>
      <c r="AC94" s="14"/>
      <c r="AD94" s="14"/>
      <c r="AE94" s="14"/>
      <c r="AF94" s="14"/>
      <c r="AG94" s="15"/>
    </row>
    <row r="95" spans="1:33">
      <c r="A95" s="8" t="s">
        <v>219</v>
      </c>
      <c r="B95" s="9"/>
      <c r="C95" s="8"/>
      <c r="D95" s="9"/>
      <c r="E95" s="9"/>
      <c r="F95" s="8"/>
      <c r="G95" s="10"/>
      <c r="H95" s="10"/>
      <c r="I95" s="10"/>
      <c r="J95" s="10"/>
      <c r="K95" s="10"/>
      <c r="L95" s="11" t="str">
        <f>IF(COUNTBLANK(G95:K95)=5,"",IF(COUNTIF(G95:K95,"No")&gt;0,"EXCLUDE","INCLUDE"))</f>
        <v/>
      </c>
      <c r="M95" s="11" t="str">
        <f>IF(L95&lt;&gt;"EXCLUDE","",IF(G95="No","Wrong domain (non-AECO)",IF(H95="No","Digital Twin not core / buzzword",IF(I95="No","No Design for Safety/Quality/PtD",IF(J95="No","Wrong publication type",IF(K95="No","Non-English",""))))))</f>
        <v/>
      </c>
      <c r="N95" s="12"/>
      <c r="O95" s="12"/>
      <c r="P95" s="13"/>
      <c r="Q95" s="13"/>
      <c r="R95" s="13"/>
      <c r="S95" s="11" t="str">
        <f>IF(N95&lt;&gt;"Yes","",IF(COUNTBLANK(P95:R95)=3,"",IF(COUNTIF(P95:R95,"No")&gt;0,"EXCLUDE","INCLUDE")))</f>
        <v/>
      </c>
      <c r="T95" s="11" t="str">
        <f>IF(S95&lt;&gt;"EXCLUDE","",IF(P95="No","Digital Twin mentioned only, not the subject",IF(Q95="No","No Design for Safety/Quality in full text",IF(R95="No","Methodology not codable",""))))</f>
        <v/>
      </c>
      <c r="U95" s="14"/>
      <c r="V95" s="14"/>
      <c r="W95" s="14"/>
      <c r="X95" s="14"/>
      <c r="Y95" s="11" t="str">
        <f>IF(SUM(V95:X95)=0,"",IF(SUM(V95:X95)&gt;=2,"Multi","Single"))</f>
        <v/>
      </c>
      <c r="Z95" s="14"/>
      <c r="AA95" s="14"/>
      <c r="AB95" s="14"/>
      <c r="AC95" s="14"/>
      <c r="AD95" s="14"/>
      <c r="AE95" s="14"/>
      <c r="AF95" s="14"/>
      <c r="AG95" s="15"/>
    </row>
    <row r="96" spans="1:33">
      <c r="A96" s="8" t="s">
        <v>220</v>
      </c>
      <c r="B96" s="9"/>
      <c r="C96" s="8"/>
      <c r="D96" s="9"/>
      <c r="E96" s="9"/>
      <c r="F96" s="8"/>
      <c r="G96" s="10"/>
      <c r="H96" s="10"/>
      <c r="I96" s="10"/>
      <c r="J96" s="10"/>
      <c r="K96" s="10"/>
      <c r="L96" s="11" t="str">
        <f>IF(COUNTBLANK(G96:K96)=5,"",IF(COUNTIF(G96:K96,"No")&gt;0,"EXCLUDE","INCLUDE"))</f>
        <v/>
      </c>
      <c r="M96" s="11" t="str">
        <f>IF(L96&lt;&gt;"EXCLUDE","",IF(G96="No","Wrong domain (non-AECO)",IF(H96="No","Digital Twin not core / buzzword",IF(I96="No","No Design for Safety/Quality/PtD",IF(J96="No","Wrong publication type",IF(K96="No","Non-English",""))))))</f>
        <v/>
      </c>
      <c r="N96" s="12"/>
      <c r="O96" s="12"/>
      <c r="P96" s="13"/>
      <c r="Q96" s="13"/>
      <c r="R96" s="13"/>
      <c r="S96" s="11" t="str">
        <f>IF(N96&lt;&gt;"Yes","",IF(COUNTBLANK(P96:R96)=3,"",IF(COUNTIF(P96:R96,"No")&gt;0,"EXCLUDE","INCLUDE")))</f>
        <v/>
      </c>
      <c r="T96" s="11" t="str">
        <f>IF(S96&lt;&gt;"EXCLUDE","",IF(P96="No","Digital Twin mentioned only, not the subject",IF(Q96="No","No Design for Safety/Quality in full text",IF(R96="No","Methodology not codable",""))))</f>
        <v/>
      </c>
      <c r="U96" s="14"/>
      <c r="V96" s="14"/>
      <c r="W96" s="14"/>
      <c r="X96" s="14"/>
      <c r="Y96" s="11" t="str">
        <f>IF(SUM(V96:X96)=0,"",IF(SUM(V96:X96)&gt;=2,"Multi","Single"))</f>
        <v/>
      </c>
      <c r="Z96" s="14"/>
      <c r="AA96" s="14"/>
      <c r="AB96" s="14"/>
      <c r="AC96" s="14"/>
      <c r="AD96" s="14"/>
      <c r="AE96" s="14"/>
      <c r="AF96" s="14"/>
      <c r="AG96" s="15"/>
    </row>
    <row r="97" spans="1:33">
      <c r="A97" s="8" t="s">
        <v>221</v>
      </c>
      <c r="B97" s="9"/>
      <c r="C97" s="8"/>
      <c r="D97" s="9"/>
      <c r="E97" s="9"/>
      <c r="F97" s="8"/>
      <c r="G97" s="10"/>
      <c r="H97" s="10"/>
      <c r="I97" s="10"/>
      <c r="J97" s="10"/>
      <c r="K97" s="10"/>
      <c r="L97" s="11" t="str">
        <f>IF(COUNTBLANK(G97:K97)=5,"",IF(COUNTIF(G97:K97,"No")&gt;0,"EXCLUDE","INCLUDE"))</f>
        <v/>
      </c>
      <c r="M97" s="11" t="str">
        <f>IF(L97&lt;&gt;"EXCLUDE","",IF(G97="No","Wrong domain (non-AECO)",IF(H97="No","Digital Twin not core / buzzword",IF(I97="No","No Design for Safety/Quality/PtD",IF(J97="No","Wrong publication type",IF(K97="No","Non-English",""))))))</f>
        <v/>
      </c>
      <c r="N97" s="12"/>
      <c r="O97" s="12"/>
      <c r="P97" s="13"/>
      <c r="Q97" s="13"/>
      <c r="R97" s="13"/>
      <c r="S97" s="11" t="str">
        <f>IF(N97&lt;&gt;"Yes","",IF(COUNTBLANK(P97:R97)=3,"",IF(COUNTIF(P97:R97,"No")&gt;0,"EXCLUDE","INCLUDE")))</f>
        <v/>
      </c>
      <c r="T97" s="11" t="str">
        <f>IF(S97&lt;&gt;"EXCLUDE","",IF(P97="No","Digital Twin mentioned only, not the subject",IF(Q97="No","No Design for Safety/Quality in full text",IF(R97="No","Methodology not codable",""))))</f>
        <v/>
      </c>
      <c r="U97" s="14"/>
      <c r="V97" s="14"/>
      <c r="W97" s="14"/>
      <c r="X97" s="14"/>
      <c r="Y97" s="11" t="str">
        <f>IF(SUM(V97:X97)=0,"",IF(SUM(V97:X97)&gt;=2,"Multi","Single"))</f>
        <v/>
      </c>
      <c r="Z97" s="14"/>
      <c r="AA97" s="14"/>
      <c r="AB97" s="14"/>
      <c r="AC97" s="14"/>
      <c r="AD97" s="14"/>
      <c r="AE97" s="14"/>
      <c r="AF97" s="14"/>
      <c r="AG97" s="15"/>
    </row>
    <row r="98" spans="1:33">
      <c r="A98" s="8" t="s">
        <v>222</v>
      </c>
      <c r="B98" s="9"/>
      <c r="C98" s="8"/>
      <c r="D98" s="9"/>
      <c r="E98" s="9"/>
      <c r="F98" s="8"/>
      <c r="G98" s="10"/>
      <c r="H98" s="10"/>
      <c r="I98" s="10"/>
      <c r="J98" s="10"/>
      <c r="K98" s="10"/>
      <c r="L98" s="11" t="str">
        <f>IF(COUNTBLANK(G98:K98)=5,"",IF(COUNTIF(G98:K98,"No")&gt;0,"EXCLUDE","INCLUDE"))</f>
        <v/>
      </c>
      <c r="M98" s="11" t="str">
        <f>IF(L98&lt;&gt;"EXCLUDE","",IF(G98="No","Wrong domain (non-AECO)",IF(H98="No","Digital Twin not core / buzzword",IF(I98="No","No Design for Safety/Quality/PtD",IF(J98="No","Wrong publication type",IF(K98="No","Non-English",""))))))</f>
        <v/>
      </c>
      <c r="N98" s="12"/>
      <c r="O98" s="12"/>
      <c r="P98" s="13"/>
      <c r="Q98" s="13"/>
      <c r="R98" s="13"/>
      <c r="S98" s="11" t="str">
        <f>IF(N98&lt;&gt;"Yes","",IF(COUNTBLANK(P98:R98)=3,"",IF(COUNTIF(P98:R98,"No")&gt;0,"EXCLUDE","INCLUDE")))</f>
        <v/>
      </c>
      <c r="T98" s="11" t="str">
        <f>IF(S98&lt;&gt;"EXCLUDE","",IF(P98="No","Digital Twin mentioned only, not the subject",IF(Q98="No","No Design for Safety/Quality in full text",IF(R98="No","Methodology not codable",""))))</f>
        <v/>
      </c>
      <c r="U98" s="14"/>
      <c r="V98" s="14"/>
      <c r="W98" s="14"/>
      <c r="X98" s="14"/>
      <c r="Y98" s="11" t="str">
        <f>IF(SUM(V98:X98)=0,"",IF(SUM(V98:X98)&gt;=2,"Multi","Single"))</f>
        <v/>
      </c>
      <c r="Z98" s="14"/>
      <c r="AA98" s="14"/>
      <c r="AB98" s="14"/>
      <c r="AC98" s="14"/>
      <c r="AD98" s="14"/>
      <c r="AE98" s="14"/>
      <c r="AF98" s="14"/>
      <c r="AG98" s="15"/>
    </row>
    <row r="99" spans="1:33">
      <c r="A99" s="8" t="s">
        <v>223</v>
      </c>
      <c r="B99" s="9"/>
      <c r="C99" s="8"/>
      <c r="D99" s="9"/>
      <c r="E99" s="9"/>
      <c r="F99" s="8"/>
      <c r="G99" s="10"/>
      <c r="H99" s="10"/>
      <c r="I99" s="10"/>
      <c r="J99" s="10"/>
      <c r="K99" s="10"/>
      <c r="L99" s="11" t="str">
        <f>IF(COUNTBLANK(G99:K99)=5,"",IF(COUNTIF(G99:K99,"No")&gt;0,"EXCLUDE","INCLUDE"))</f>
        <v/>
      </c>
      <c r="M99" s="11" t="str">
        <f>IF(L99&lt;&gt;"EXCLUDE","",IF(G99="No","Wrong domain (non-AECO)",IF(H99="No","Digital Twin not core / buzzword",IF(I99="No","No Design for Safety/Quality/PtD",IF(J99="No","Wrong publication type",IF(K99="No","Non-English",""))))))</f>
        <v/>
      </c>
      <c r="N99" s="12"/>
      <c r="O99" s="12"/>
      <c r="P99" s="13"/>
      <c r="Q99" s="13"/>
      <c r="R99" s="13"/>
      <c r="S99" s="11" t="str">
        <f>IF(N99&lt;&gt;"Yes","",IF(COUNTBLANK(P99:R99)=3,"",IF(COUNTIF(P99:R99,"No")&gt;0,"EXCLUDE","INCLUDE")))</f>
        <v/>
      </c>
      <c r="T99" s="11" t="str">
        <f>IF(S99&lt;&gt;"EXCLUDE","",IF(P99="No","Digital Twin mentioned only, not the subject",IF(Q99="No","No Design for Safety/Quality in full text",IF(R99="No","Methodology not codable",""))))</f>
        <v/>
      </c>
      <c r="U99" s="14"/>
      <c r="V99" s="14"/>
      <c r="W99" s="14"/>
      <c r="X99" s="14"/>
      <c r="Y99" s="11" t="str">
        <f>IF(SUM(V99:X99)=0,"",IF(SUM(V99:X99)&gt;=2,"Multi","Single"))</f>
        <v/>
      </c>
      <c r="Z99" s="14"/>
      <c r="AA99" s="14"/>
      <c r="AB99" s="14"/>
      <c r="AC99" s="14"/>
      <c r="AD99" s="14"/>
      <c r="AE99" s="14"/>
      <c r="AF99" s="14"/>
      <c r="AG99" s="15"/>
    </row>
    <row r="100" spans="1:33">
      <c r="A100" s="8" t="s">
        <v>224</v>
      </c>
      <c r="B100" s="9"/>
      <c r="C100" s="8"/>
      <c r="D100" s="9"/>
      <c r="E100" s="9"/>
      <c r="F100" s="8"/>
      <c r="G100" s="10"/>
      <c r="H100" s="10"/>
      <c r="I100" s="10"/>
      <c r="J100" s="10"/>
      <c r="K100" s="10"/>
      <c r="L100" s="11" t="str">
        <f>IF(COUNTBLANK(G100:K100)=5,"",IF(COUNTIF(G100:K100,"No")&gt;0,"EXCLUDE","INCLUDE"))</f>
        <v/>
      </c>
      <c r="M100" s="11" t="str">
        <f>IF(L100&lt;&gt;"EXCLUDE","",IF(G100="No","Wrong domain (non-AECO)",IF(H100="No","Digital Twin not core / buzzword",IF(I100="No","No Design for Safety/Quality/PtD",IF(J100="No","Wrong publication type",IF(K100="No","Non-English",""))))))</f>
        <v/>
      </c>
      <c r="N100" s="12"/>
      <c r="O100" s="12"/>
      <c r="P100" s="13"/>
      <c r="Q100" s="13"/>
      <c r="R100" s="13"/>
      <c r="S100" s="11" t="str">
        <f>IF(N100&lt;&gt;"Yes","",IF(COUNTBLANK(P100:R100)=3,"",IF(COUNTIF(P100:R100,"No")&gt;0,"EXCLUDE","INCLUDE")))</f>
        <v/>
      </c>
      <c r="T100" s="11" t="str">
        <f>IF(S100&lt;&gt;"EXCLUDE","",IF(P100="No","Digital Twin mentioned only, not the subject",IF(Q100="No","No Design for Safety/Quality in full text",IF(R100="No","Methodology not codable",""))))</f>
        <v/>
      </c>
      <c r="U100" s="14"/>
      <c r="V100" s="14"/>
      <c r="W100" s="14"/>
      <c r="X100" s="14"/>
      <c r="Y100" s="11" t="str">
        <f>IF(SUM(V100:X100)=0,"",IF(SUM(V100:X100)&gt;=2,"Multi","Single"))</f>
        <v/>
      </c>
      <c r="Z100" s="14"/>
      <c r="AA100" s="14"/>
      <c r="AB100" s="14"/>
      <c r="AC100" s="14"/>
      <c r="AD100" s="14"/>
      <c r="AE100" s="14"/>
      <c r="AF100" s="14"/>
      <c r="AG100" s="15"/>
    </row>
    <row r="101" spans="1:33">
      <c r="A101" s="8" t="s">
        <v>225</v>
      </c>
      <c r="B101" s="9"/>
      <c r="C101" s="8"/>
      <c r="D101" s="9"/>
      <c r="E101" s="9"/>
      <c r="F101" s="8"/>
      <c r="G101" s="10"/>
      <c r="H101" s="10"/>
      <c r="I101" s="10"/>
      <c r="J101" s="10"/>
      <c r="K101" s="10"/>
      <c r="L101" s="11" t="str">
        <f>IF(COUNTBLANK(G101:K101)=5,"",IF(COUNTIF(G101:K101,"No")&gt;0,"EXCLUDE","INCLUDE"))</f>
        <v/>
      </c>
      <c r="M101" s="11" t="str">
        <f>IF(L101&lt;&gt;"EXCLUDE","",IF(G101="No","Wrong domain (non-AECO)",IF(H101="No","Digital Twin not core / buzzword",IF(I101="No","No Design for Safety/Quality/PtD",IF(J101="No","Wrong publication type",IF(K101="No","Non-English",""))))))</f>
        <v/>
      </c>
      <c r="N101" s="12"/>
      <c r="O101" s="12"/>
      <c r="P101" s="13"/>
      <c r="Q101" s="13"/>
      <c r="R101" s="13"/>
      <c r="S101" s="11" t="str">
        <f>IF(N101&lt;&gt;"Yes","",IF(COUNTBLANK(P101:R101)=3,"",IF(COUNTIF(P101:R101,"No")&gt;0,"EXCLUDE","INCLUDE")))</f>
        <v/>
      </c>
      <c r="T101" s="11" t="str">
        <f>IF(S101&lt;&gt;"EXCLUDE","",IF(P101="No","Digital Twin mentioned only, not the subject",IF(Q101="No","No Design for Safety/Quality in full text",IF(R101="No","Methodology not codable",""))))</f>
        <v/>
      </c>
      <c r="U101" s="14"/>
      <c r="V101" s="14"/>
      <c r="W101" s="14"/>
      <c r="X101" s="14"/>
      <c r="Y101" s="11" t="str">
        <f>IF(SUM(V101:X101)=0,"",IF(SUM(V101:X101)&gt;=2,"Multi","Single"))</f>
        <v/>
      </c>
      <c r="Z101" s="14"/>
      <c r="AA101" s="14"/>
      <c r="AB101" s="14"/>
      <c r="AC101" s="14"/>
      <c r="AD101" s="14"/>
      <c r="AE101" s="14"/>
      <c r="AF101" s="14"/>
      <c r="AG101" s="15"/>
    </row>
    <row r="102" spans="1:33">
      <c r="A102" s="8" t="s">
        <v>226</v>
      </c>
      <c r="B102" s="9"/>
      <c r="C102" s="8"/>
      <c r="D102" s="9"/>
      <c r="E102" s="9"/>
      <c r="F102" s="8"/>
      <c r="G102" s="10"/>
      <c r="H102" s="10"/>
      <c r="I102" s="10"/>
      <c r="J102" s="10"/>
      <c r="K102" s="10"/>
      <c r="L102" s="11" t="str">
        <f>IF(COUNTBLANK(G102:K102)=5,"",IF(COUNTIF(G102:K102,"No")&gt;0,"EXCLUDE","INCLUDE"))</f>
        <v/>
      </c>
      <c r="M102" s="11" t="str">
        <f>IF(L102&lt;&gt;"EXCLUDE","",IF(G102="No","Wrong domain (non-AECO)",IF(H102="No","Digital Twin not core / buzzword",IF(I102="No","No Design for Safety/Quality/PtD",IF(J102="No","Wrong publication type",IF(K102="No","Non-English",""))))))</f>
        <v/>
      </c>
      <c r="N102" s="12"/>
      <c r="O102" s="12"/>
      <c r="P102" s="13"/>
      <c r="Q102" s="13"/>
      <c r="R102" s="13"/>
      <c r="S102" s="11" t="str">
        <f>IF(N102&lt;&gt;"Yes","",IF(COUNTBLANK(P102:R102)=3,"",IF(COUNTIF(P102:R102,"No")&gt;0,"EXCLUDE","INCLUDE")))</f>
        <v/>
      </c>
      <c r="T102" s="11" t="str">
        <f>IF(S102&lt;&gt;"EXCLUDE","",IF(P102="No","Digital Twin mentioned only, not the subject",IF(Q102="No","No Design for Safety/Quality in full text",IF(R102="No","Methodology not codable",""))))</f>
        <v/>
      </c>
      <c r="U102" s="14"/>
      <c r="V102" s="14"/>
      <c r="W102" s="14"/>
      <c r="X102" s="14"/>
      <c r="Y102" s="11" t="str">
        <f>IF(SUM(V102:X102)=0,"",IF(SUM(V102:X102)&gt;=2,"Multi","Single"))</f>
        <v/>
      </c>
      <c r="Z102" s="14"/>
      <c r="AA102" s="14"/>
      <c r="AB102" s="14"/>
      <c r="AC102" s="14"/>
      <c r="AD102" s="14"/>
      <c r="AE102" s="14"/>
      <c r="AF102" s="14"/>
      <c r="AG102" s="15"/>
    </row>
    <row r="103" spans="1:33">
      <c r="A103" s="8" t="s">
        <v>227</v>
      </c>
      <c r="B103" s="9"/>
      <c r="C103" s="8"/>
      <c r="D103" s="9"/>
      <c r="E103" s="9"/>
      <c r="F103" s="8"/>
      <c r="G103" s="10"/>
      <c r="H103" s="10"/>
      <c r="I103" s="10"/>
      <c r="J103" s="10"/>
      <c r="K103" s="10"/>
      <c r="L103" s="11" t="str">
        <f>IF(COUNTBLANK(G103:K103)=5,"",IF(COUNTIF(G103:K103,"No")&gt;0,"EXCLUDE","INCLUDE"))</f>
        <v/>
      </c>
      <c r="M103" s="11" t="str">
        <f>IF(L103&lt;&gt;"EXCLUDE","",IF(G103="No","Wrong domain (non-AECO)",IF(H103="No","Digital Twin not core / buzzword",IF(I103="No","No Design for Safety/Quality/PtD",IF(J103="No","Wrong publication type",IF(K103="No","Non-English",""))))))</f>
        <v/>
      </c>
      <c r="N103" s="12"/>
      <c r="O103" s="12"/>
      <c r="P103" s="13"/>
      <c r="Q103" s="13"/>
      <c r="R103" s="13"/>
      <c r="S103" s="11" t="str">
        <f>IF(N103&lt;&gt;"Yes","",IF(COUNTBLANK(P103:R103)=3,"",IF(COUNTIF(P103:R103,"No")&gt;0,"EXCLUDE","INCLUDE")))</f>
        <v/>
      </c>
      <c r="T103" s="11" t="str">
        <f>IF(S103&lt;&gt;"EXCLUDE","",IF(P103="No","Digital Twin mentioned only, not the subject",IF(Q103="No","No Design for Safety/Quality in full text",IF(R103="No","Methodology not codable",""))))</f>
        <v/>
      </c>
      <c r="U103" s="14"/>
      <c r="V103" s="14"/>
      <c r="W103" s="14"/>
      <c r="X103" s="14"/>
      <c r="Y103" s="11" t="str">
        <f>IF(SUM(V103:X103)=0,"",IF(SUM(V103:X103)&gt;=2,"Multi","Single"))</f>
        <v/>
      </c>
      <c r="Z103" s="14"/>
      <c r="AA103" s="14"/>
      <c r="AB103" s="14"/>
      <c r="AC103" s="14"/>
      <c r="AD103" s="14"/>
      <c r="AE103" s="14"/>
      <c r="AF103" s="14"/>
      <c r="AG103" s="15"/>
    </row>
    <row r="104" spans="1:33">
      <c r="A104" s="8" t="s">
        <v>228</v>
      </c>
      <c r="B104" s="9"/>
      <c r="C104" s="8"/>
      <c r="D104" s="9"/>
      <c r="E104" s="9"/>
      <c r="F104" s="8"/>
      <c r="G104" s="10"/>
      <c r="H104" s="10"/>
      <c r="I104" s="10"/>
      <c r="J104" s="10"/>
      <c r="K104" s="10"/>
      <c r="L104" s="11" t="str">
        <f>IF(COUNTBLANK(G104:K104)=5,"",IF(COUNTIF(G104:K104,"No")&gt;0,"EXCLUDE","INCLUDE"))</f>
        <v/>
      </c>
      <c r="M104" s="11" t="str">
        <f>IF(L104&lt;&gt;"EXCLUDE","",IF(G104="No","Wrong domain (non-AECO)",IF(H104="No","Digital Twin not core / buzzword",IF(I104="No","No Design for Safety/Quality/PtD",IF(J104="No","Wrong publication type",IF(K104="No","Non-English",""))))))</f>
        <v/>
      </c>
      <c r="N104" s="12"/>
      <c r="O104" s="12"/>
      <c r="P104" s="13"/>
      <c r="Q104" s="13"/>
      <c r="R104" s="13"/>
      <c r="S104" s="11" t="str">
        <f>IF(N104&lt;&gt;"Yes","",IF(COUNTBLANK(P104:R104)=3,"",IF(COUNTIF(P104:R104,"No")&gt;0,"EXCLUDE","INCLUDE")))</f>
        <v/>
      </c>
      <c r="T104" s="11" t="str">
        <f>IF(S104&lt;&gt;"EXCLUDE","",IF(P104="No","Digital Twin mentioned only, not the subject",IF(Q104="No","No Design for Safety/Quality in full text",IF(R104="No","Methodology not codable",""))))</f>
        <v/>
      </c>
      <c r="U104" s="14"/>
      <c r="V104" s="14"/>
      <c r="W104" s="14"/>
      <c r="X104" s="14"/>
      <c r="Y104" s="11" t="str">
        <f>IF(SUM(V104:X104)=0,"",IF(SUM(V104:X104)&gt;=2,"Multi","Single"))</f>
        <v/>
      </c>
      <c r="Z104" s="14"/>
      <c r="AA104" s="14"/>
      <c r="AB104" s="14"/>
      <c r="AC104" s="14"/>
      <c r="AD104" s="14"/>
      <c r="AE104" s="14"/>
      <c r="AF104" s="14"/>
      <c r="AG104" s="15"/>
    </row>
    <row r="105" spans="1:33">
      <c r="A105" s="8" t="s">
        <v>229</v>
      </c>
      <c r="B105" s="9"/>
      <c r="C105" s="8"/>
      <c r="D105" s="9"/>
      <c r="E105" s="9"/>
      <c r="F105" s="8"/>
      <c r="G105" s="10"/>
      <c r="H105" s="10"/>
      <c r="I105" s="10"/>
      <c r="J105" s="10"/>
      <c r="K105" s="10"/>
      <c r="L105" s="11" t="str">
        <f>IF(COUNTBLANK(G105:K105)=5,"",IF(COUNTIF(G105:K105,"No")&gt;0,"EXCLUDE","INCLUDE"))</f>
        <v/>
      </c>
      <c r="M105" s="11" t="str">
        <f>IF(L105&lt;&gt;"EXCLUDE","",IF(G105="No","Wrong domain (non-AECO)",IF(H105="No","Digital Twin not core / buzzword",IF(I105="No","No Design for Safety/Quality/PtD",IF(J105="No","Wrong publication type",IF(K105="No","Non-English",""))))))</f>
        <v/>
      </c>
      <c r="N105" s="12"/>
      <c r="O105" s="12"/>
      <c r="P105" s="13"/>
      <c r="Q105" s="13"/>
      <c r="R105" s="13"/>
      <c r="S105" s="11" t="str">
        <f>IF(N105&lt;&gt;"Yes","",IF(COUNTBLANK(P105:R105)=3,"",IF(COUNTIF(P105:R105,"No")&gt;0,"EXCLUDE","INCLUDE")))</f>
        <v/>
      </c>
      <c r="T105" s="11" t="str">
        <f>IF(S105&lt;&gt;"EXCLUDE","",IF(P105="No","Digital Twin mentioned only, not the subject",IF(Q105="No","No Design for Safety/Quality in full text",IF(R105="No","Methodology not codable",""))))</f>
        <v/>
      </c>
      <c r="U105" s="14"/>
      <c r="V105" s="14"/>
      <c r="W105" s="14"/>
      <c r="X105" s="14"/>
      <c r="Y105" s="11" t="str">
        <f>IF(SUM(V105:X105)=0,"",IF(SUM(V105:X105)&gt;=2,"Multi","Single"))</f>
        <v/>
      </c>
      <c r="Z105" s="14"/>
      <c r="AA105" s="14"/>
      <c r="AB105" s="14"/>
      <c r="AC105" s="14"/>
      <c r="AD105" s="14"/>
      <c r="AE105" s="14"/>
      <c r="AF105" s="14"/>
      <c r="AG105" s="15"/>
    </row>
    <row r="106" spans="1:33">
      <c r="A106" s="8" t="s">
        <v>230</v>
      </c>
      <c r="B106" s="9"/>
      <c r="C106" s="8"/>
      <c r="D106" s="9"/>
      <c r="E106" s="9"/>
      <c r="F106" s="8"/>
      <c r="G106" s="10"/>
      <c r="H106" s="10"/>
      <c r="I106" s="10"/>
      <c r="J106" s="10"/>
      <c r="K106" s="10"/>
      <c r="L106" s="11" t="str">
        <f>IF(COUNTBLANK(G106:K106)=5,"",IF(COUNTIF(G106:K106,"No")&gt;0,"EXCLUDE","INCLUDE"))</f>
        <v/>
      </c>
      <c r="M106" s="11" t="str">
        <f>IF(L106&lt;&gt;"EXCLUDE","",IF(G106="No","Wrong domain (non-AECO)",IF(H106="No","Digital Twin not core / buzzword",IF(I106="No","No Design for Safety/Quality/PtD",IF(J106="No","Wrong publication type",IF(K106="No","Non-English",""))))))</f>
        <v/>
      </c>
      <c r="N106" s="12"/>
      <c r="O106" s="12"/>
      <c r="P106" s="13"/>
      <c r="Q106" s="13"/>
      <c r="R106" s="13"/>
      <c r="S106" s="11" t="str">
        <f>IF(N106&lt;&gt;"Yes","",IF(COUNTBLANK(P106:R106)=3,"",IF(COUNTIF(P106:R106,"No")&gt;0,"EXCLUDE","INCLUDE")))</f>
        <v/>
      </c>
      <c r="T106" s="11" t="str">
        <f>IF(S106&lt;&gt;"EXCLUDE","",IF(P106="No","Digital Twin mentioned only, not the subject",IF(Q106="No","No Design for Safety/Quality in full text",IF(R106="No","Methodology not codable",""))))</f>
        <v/>
      </c>
      <c r="U106" s="14"/>
      <c r="V106" s="14"/>
      <c r="W106" s="14"/>
      <c r="X106" s="14"/>
      <c r="Y106" s="11" t="str">
        <f>IF(SUM(V106:X106)=0,"",IF(SUM(V106:X106)&gt;=2,"Multi","Single"))</f>
        <v/>
      </c>
      <c r="Z106" s="14"/>
      <c r="AA106" s="14"/>
      <c r="AB106" s="14"/>
      <c r="AC106" s="14"/>
      <c r="AD106" s="14"/>
      <c r="AE106" s="14"/>
      <c r="AF106" s="14"/>
      <c r="AG106" s="15"/>
    </row>
    <row r="107" spans="1:33">
      <c r="A107" s="8" t="s">
        <v>231</v>
      </c>
      <c r="B107" s="9"/>
      <c r="C107" s="8"/>
      <c r="D107" s="9"/>
      <c r="E107" s="9"/>
      <c r="F107" s="8"/>
      <c r="G107" s="10"/>
      <c r="H107" s="10"/>
      <c r="I107" s="10"/>
      <c r="J107" s="10"/>
      <c r="K107" s="10"/>
      <c r="L107" s="11" t="str">
        <f>IF(COUNTBLANK(G107:K107)=5,"",IF(COUNTIF(G107:K107,"No")&gt;0,"EXCLUDE","INCLUDE"))</f>
        <v/>
      </c>
      <c r="M107" s="11" t="str">
        <f>IF(L107&lt;&gt;"EXCLUDE","",IF(G107="No","Wrong domain (non-AECO)",IF(H107="No","Digital Twin not core / buzzword",IF(I107="No","No Design for Safety/Quality/PtD",IF(J107="No","Wrong publication type",IF(K107="No","Non-English",""))))))</f>
        <v/>
      </c>
      <c r="N107" s="12"/>
      <c r="O107" s="12"/>
      <c r="P107" s="13"/>
      <c r="Q107" s="13"/>
      <c r="R107" s="13"/>
      <c r="S107" s="11" t="str">
        <f>IF(N107&lt;&gt;"Yes","",IF(COUNTBLANK(P107:R107)=3,"",IF(COUNTIF(P107:R107,"No")&gt;0,"EXCLUDE","INCLUDE")))</f>
        <v/>
      </c>
      <c r="T107" s="11" t="str">
        <f>IF(S107&lt;&gt;"EXCLUDE","",IF(P107="No","Digital Twin mentioned only, not the subject",IF(Q107="No","No Design for Safety/Quality in full text",IF(R107="No","Methodology not codable",""))))</f>
        <v/>
      </c>
      <c r="U107" s="14"/>
      <c r="V107" s="14"/>
      <c r="W107" s="14"/>
      <c r="X107" s="14"/>
      <c r="Y107" s="11" t="str">
        <f>IF(SUM(V107:X107)=0,"",IF(SUM(V107:X107)&gt;=2,"Multi","Single"))</f>
        <v/>
      </c>
      <c r="Z107" s="14"/>
      <c r="AA107" s="14"/>
      <c r="AB107" s="14"/>
      <c r="AC107" s="14"/>
      <c r="AD107" s="14"/>
      <c r="AE107" s="14"/>
      <c r="AF107" s="14"/>
      <c r="AG107" s="15"/>
    </row>
    <row r="108" spans="1:33">
      <c r="A108" s="8" t="s">
        <v>232</v>
      </c>
      <c r="B108" s="9"/>
      <c r="C108" s="8"/>
      <c r="D108" s="9"/>
      <c r="E108" s="9"/>
      <c r="F108" s="8"/>
      <c r="G108" s="10"/>
      <c r="H108" s="10"/>
      <c r="I108" s="10"/>
      <c r="J108" s="10"/>
      <c r="K108" s="10"/>
      <c r="L108" s="11" t="str">
        <f>IF(COUNTBLANK(G108:K108)=5,"",IF(COUNTIF(G108:K108,"No")&gt;0,"EXCLUDE","INCLUDE"))</f>
        <v/>
      </c>
      <c r="M108" s="11" t="str">
        <f>IF(L108&lt;&gt;"EXCLUDE","",IF(G108="No","Wrong domain (non-AECO)",IF(H108="No","Digital Twin not core / buzzword",IF(I108="No","No Design for Safety/Quality/PtD",IF(J108="No","Wrong publication type",IF(K108="No","Non-English",""))))))</f>
        <v/>
      </c>
      <c r="N108" s="12"/>
      <c r="O108" s="12"/>
      <c r="P108" s="13"/>
      <c r="Q108" s="13"/>
      <c r="R108" s="13"/>
      <c r="S108" s="11" t="str">
        <f>IF(N108&lt;&gt;"Yes","",IF(COUNTBLANK(P108:R108)=3,"",IF(COUNTIF(P108:R108,"No")&gt;0,"EXCLUDE","INCLUDE")))</f>
        <v/>
      </c>
      <c r="T108" s="11" t="str">
        <f>IF(S108&lt;&gt;"EXCLUDE","",IF(P108="No","Digital Twin mentioned only, not the subject",IF(Q108="No","No Design for Safety/Quality in full text",IF(R108="No","Methodology not codable",""))))</f>
        <v/>
      </c>
      <c r="U108" s="14"/>
      <c r="V108" s="14"/>
      <c r="W108" s="14"/>
      <c r="X108" s="14"/>
      <c r="Y108" s="11" t="str">
        <f>IF(SUM(V108:X108)=0,"",IF(SUM(V108:X108)&gt;=2,"Multi","Single"))</f>
        <v/>
      </c>
      <c r="Z108" s="14"/>
      <c r="AA108" s="14"/>
      <c r="AB108" s="14"/>
      <c r="AC108" s="14"/>
      <c r="AD108" s="14"/>
      <c r="AE108" s="14"/>
      <c r="AF108" s="14"/>
      <c r="AG108" s="15"/>
    </row>
    <row r="109" spans="1:33">
      <c r="A109" s="8" t="s">
        <v>233</v>
      </c>
      <c r="B109" s="9"/>
      <c r="C109" s="8"/>
      <c r="D109" s="9"/>
      <c r="E109" s="9"/>
      <c r="F109" s="8"/>
      <c r="G109" s="10"/>
      <c r="H109" s="10"/>
      <c r="I109" s="10"/>
      <c r="J109" s="10"/>
      <c r="K109" s="10"/>
      <c r="L109" s="11" t="str">
        <f>IF(COUNTBLANK(G109:K109)=5,"",IF(COUNTIF(G109:K109,"No")&gt;0,"EXCLUDE","INCLUDE"))</f>
        <v/>
      </c>
      <c r="M109" s="11" t="str">
        <f>IF(L109&lt;&gt;"EXCLUDE","",IF(G109="No","Wrong domain (non-AECO)",IF(H109="No","Digital Twin not core / buzzword",IF(I109="No","No Design for Safety/Quality/PtD",IF(J109="No","Wrong publication type",IF(K109="No","Non-English",""))))))</f>
        <v/>
      </c>
      <c r="N109" s="12"/>
      <c r="O109" s="12"/>
      <c r="P109" s="13"/>
      <c r="Q109" s="13"/>
      <c r="R109" s="13"/>
      <c r="S109" s="11" t="str">
        <f>IF(N109&lt;&gt;"Yes","",IF(COUNTBLANK(P109:R109)=3,"",IF(COUNTIF(P109:R109,"No")&gt;0,"EXCLUDE","INCLUDE")))</f>
        <v/>
      </c>
      <c r="T109" s="11" t="str">
        <f>IF(S109&lt;&gt;"EXCLUDE","",IF(P109="No","Digital Twin mentioned only, not the subject",IF(Q109="No","No Design for Safety/Quality in full text",IF(R109="No","Methodology not codable",""))))</f>
        <v/>
      </c>
      <c r="U109" s="14"/>
      <c r="V109" s="14"/>
      <c r="W109" s="14"/>
      <c r="X109" s="14"/>
      <c r="Y109" s="11" t="str">
        <f>IF(SUM(V109:X109)=0,"",IF(SUM(V109:X109)&gt;=2,"Multi","Single"))</f>
        <v/>
      </c>
      <c r="Z109" s="14"/>
      <c r="AA109" s="14"/>
      <c r="AB109" s="14"/>
      <c r="AC109" s="14"/>
      <c r="AD109" s="14"/>
      <c r="AE109" s="14"/>
      <c r="AF109" s="14"/>
      <c r="AG109" s="15"/>
    </row>
    <row r="110" spans="1:33">
      <c r="A110" s="8" t="s">
        <v>234</v>
      </c>
      <c r="B110" s="9"/>
      <c r="C110" s="8"/>
      <c r="D110" s="9"/>
      <c r="E110" s="9"/>
      <c r="F110" s="8"/>
      <c r="G110" s="10"/>
      <c r="H110" s="10"/>
      <c r="I110" s="10"/>
      <c r="J110" s="10"/>
      <c r="K110" s="10"/>
      <c r="L110" s="11" t="str">
        <f>IF(COUNTBLANK(G110:K110)=5,"",IF(COUNTIF(G110:K110,"No")&gt;0,"EXCLUDE","INCLUDE"))</f>
        <v/>
      </c>
      <c r="M110" s="11" t="str">
        <f>IF(L110&lt;&gt;"EXCLUDE","",IF(G110="No","Wrong domain (non-AECO)",IF(H110="No","Digital Twin not core / buzzword",IF(I110="No","No Design for Safety/Quality/PtD",IF(J110="No","Wrong publication type",IF(K110="No","Non-English",""))))))</f>
        <v/>
      </c>
      <c r="N110" s="12"/>
      <c r="O110" s="12"/>
      <c r="P110" s="13"/>
      <c r="Q110" s="13"/>
      <c r="R110" s="13"/>
      <c r="S110" s="11" t="str">
        <f>IF(N110&lt;&gt;"Yes","",IF(COUNTBLANK(P110:R110)=3,"",IF(COUNTIF(P110:R110,"No")&gt;0,"EXCLUDE","INCLUDE")))</f>
        <v/>
      </c>
      <c r="T110" s="11" t="str">
        <f>IF(S110&lt;&gt;"EXCLUDE","",IF(P110="No","Digital Twin mentioned only, not the subject",IF(Q110="No","No Design for Safety/Quality in full text",IF(R110="No","Methodology not codable",""))))</f>
        <v/>
      </c>
      <c r="U110" s="14"/>
      <c r="V110" s="14"/>
      <c r="W110" s="14"/>
      <c r="X110" s="14"/>
      <c r="Y110" s="11" t="str">
        <f>IF(SUM(V110:X110)=0,"",IF(SUM(V110:X110)&gt;=2,"Multi","Single"))</f>
        <v/>
      </c>
      <c r="Z110" s="14"/>
      <c r="AA110" s="14"/>
      <c r="AB110" s="14"/>
      <c r="AC110" s="14"/>
      <c r="AD110" s="14"/>
      <c r="AE110" s="14"/>
      <c r="AF110" s="14"/>
      <c r="AG110" s="15"/>
    </row>
    <row r="111" spans="1:33">
      <c r="A111" s="8" t="s">
        <v>235</v>
      </c>
      <c r="B111" s="9"/>
      <c r="C111" s="8"/>
      <c r="D111" s="9"/>
      <c r="E111" s="9"/>
      <c r="F111" s="8"/>
      <c r="G111" s="10"/>
      <c r="H111" s="10"/>
      <c r="I111" s="10"/>
      <c r="J111" s="10"/>
      <c r="K111" s="10"/>
      <c r="L111" s="11" t="str">
        <f>IF(COUNTBLANK(G111:K111)=5,"",IF(COUNTIF(G111:K111,"No")&gt;0,"EXCLUDE","INCLUDE"))</f>
        <v/>
      </c>
      <c r="M111" s="11" t="str">
        <f>IF(L111&lt;&gt;"EXCLUDE","",IF(G111="No","Wrong domain (non-AECO)",IF(H111="No","Digital Twin not core / buzzword",IF(I111="No","No Design for Safety/Quality/PtD",IF(J111="No","Wrong publication type",IF(K111="No","Non-English",""))))))</f>
        <v/>
      </c>
      <c r="N111" s="12"/>
      <c r="O111" s="12"/>
      <c r="P111" s="13"/>
      <c r="Q111" s="13"/>
      <c r="R111" s="13"/>
      <c r="S111" s="11" t="str">
        <f>IF(N111&lt;&gt;"Yes","",IF(COUNTBLANK(P111:R111)=3,"",IF(COUNTIF(P111:R111,"No")&gt;0,"EXCLUDE","INCLUDE")))</f>
        <v/>
      </c>
      <c r="T111" s="11" t="str">
        <f>IF(S111&lt;&gt;"EXCLUDE","",IF(P111="No","Digital Twin mentioned only, not the subject",IF(Q111="No","No Design for Safety/Quality in full text",IF(R111="No","Methodology not codable",""))))</f>
        <v/>
      </c>
      <c r="U111" s="14"/>
      <c r="V111" s="14"/>
      <c r="W111" s="14"/>
      <c r="X111" s="14"/>
      <c r="Y111" s="11" t="str">
        <f>IF(SUM(V111:X111)=0,"",IF(SUM(V111:X111)&gt;=2,"Multi","Single"))</f>
        <v/>
      </c>
      <c r="Z111" s="14"/>
      <c r="AA111" s="14"/>
      <c r="AB111" s="14"/>
      <c r="AC111" s="14"/>
      <c r="AD111" s="14"/>
      <c r="AE111" s="14"/>
      <c r="AF111" s="14"/>
      <c r="AG111" s="15"/>
    </row>
    <row r="112" spans="1:33">
      <c r="A112" s="8" t="s">
        <v>236</v>
      </c>
      <c r="B112" s="9"/>
      <c r="C112" s="8"/>
      <c r="D112" s="9"/>
      <c r="E112" s="9"/>
      <c r="F112" s="8"/>
      <c r="G112" s="10"/>
      <c r="H112" s="10"/>
      <c r="I112" s="10"/>
      <c r="J112" s="10"/>
      <c r="K112" s="10"/>
      <c r="L112" s="11" t="str">
        <f>IF(COUNTBLANK(G112:K112)=5,"",IF(COUNTIF(G112:K112,"No")&gt;0,"EXCLUDE","INCLUDE"))</f>
        <v/>
      </c>
      <c r="M112" s="11" t="str">
        <f>IF(L112&lt;&gt;"EXCLUDE","",IF(G112="No","Wrong domain (non-AECO)",IF(H112="No","Digital Twin not core / buzzword",IF(I112="No","No Design for Safety/Quality/PtD",IF(J112="No","Wrong publication type",IF(K112="No","Non-English",""))))))</f>
        <v/>
      </c>
      <c r="N112" s="12"/>
      <c r="O112" s="12"/>
      <c r="P112" s="13"/>
      <c r="Q112" s="13"/>
      <c r="R112" s="13"/>
      <c r="S112" s="11" t="str">
        <f>IF(N112&lt;&gt;"Yes","",IF(COUNTBLANK(P112:R112)=3,"",IF(COUNTIF(P112:R112,"No")&gt;0,"EXCLUDE","INCLUDE")))</f>
        <v/>
      </c>
      <c r="T112" s="11" t="str">
        <f>IF(S112&lt;&gt;"EXCLUDE","",IF(P112="No","Digital Twin mentioned only, not the subject",IF(Q112="No","No Design for Safety/Quality in full text",IF(R112="No","Methodology not codable",""))))</f>
        <v/>
      </c>
      <c r="U112" s="14"/>
      <c r="V112" s="14"/>
      <c r="W112" s="14"/>
      <c r="X112" s="14"/>
      <c r="Y112" s="11" t="str">
        <f>IF(SUM(V112:X112)=0,"",IF(SUM(V112:X112)&gt;=2,"Multi","Single"))</f>
        <v/>
      </c>
      <c r="Z112" s="14"/>
      <c r="AA112" s="14"/>
      <c r="AB112" s="14"/>
      <c r="AC112" s="14"/>
      <c r="AD112" s="14"/>
      <c r="AE112" s="14"/>
      <c r="AF112" s="14"/>
      <c r="AG112" s="15"/>
    </row>
    <row r="113" spans="1:33">
      <c r="A113" s="8" t="s">
        <v>237</v>
      </c>
      <c r="B113" s="9"/>
      <c r="C113" s="8"/>
      <c r="D113" s="9"/>
      <c r="E113" s="9"/>
      <c r="F113" s="8"/>
      <c r="G113" s="10"/>
      <c r="H113" s="10"/>
      <c r="I113" s="10"/>
      <c r="J113" s="10"/>
      <c r="K113" s="10"/>
      <c r="L113" s="11" t="str">
        <f>IF(COUNTBLANK(G113:K113)=5,"",IF(COUNTIF(G113:K113,"No")&gt;0,"EXCLUDE","INCLUDE"))</f>
        <v/>
      </c>
      <c r="M113" s="11" t="str">
        <f>IF(L113&lt;&gt;"EXCLUDE","",IF(G113="No","Wrong domain (non-AECO)",IF(H113="No","Digital Twin not core / buzzword",IF(I113="No","No Design for Safety/Quality/PtD",IF(J113="No","Wrong publication type",IF(K113="No","Non-English",""))))))</f>
        <v/>
      </c>
      <c r="N113" s="12"/>
      <c r="O113" s="12"/>
      <c r="P113" s="13"/>
      <c r="Q113" s="13"/>
      <c r="R113" s="13"/>
      <c r="S113" s="11" t="str">
        <f>IF(N113&lt;&gt;"Yes","",IF(COUNTBLANK(P113:R113)=3,"",IF(COUNTIF(P113:R113,"No")&gt;0,"EXCLUDE","INCLUDE")))</f>
        <v/>
      </c>
      <c r="T113" s="11" t="str">
        <f>IF(S113&lt;&gt;"EXCLUDE","",IF(P113="No","Digital Twin mentioned only, not the subject",IF(Q113="No","No Design for Safety/Quality in full text",IF(R113="No","Methodology not codable",""))))</f>
        <v/>
      </c>
      <c r="U113" s="14"/>
      <c r="V113" s="14"/>
      <c r="W113" s="14"/>
      <c r="X113" s="14"/>
      <c r="Y113" s="11" t="str">
        <f>IF(SUM(V113:X113)=0,"",IF(SUM(V113:X113)&gt;=2,"Multi","Single"))</f>
        <v/>
      </c>
      <c r="Z113" s="14"/>
      <c r="AA113" s="14"/>
      <c r="AB113" s="14"/>
      <c r="AC113" s="14"/>
      <c r="AD113" s="14"/>
      <c r="AE113" s="14"/>
      <c r="AF113" s="14"/>
      <c r="AG113" s="15"/>
    </row>
    <row r="114" spans="1:33">
      <c r="A114" s="8" t="s">
        <v>238</v>
      </c>
      <c r="B114" s="9"/>
      <c r="C114" s="8"/>
      <c r="D114" s="9"/>
      <c r="E114" s="9"/>
      <c r="F114" s="8"/>
      <c r="G114" s="10"/>
      <c r="H114" s="10"/>
      <c r="I114" s="10"/>
      <c r="J114" s="10"/>
      <c r="K114" s="10"/>
      <c r="L114" s="11" t="str">
        <f>IF(COUNTBLANK(G114:K114)=5,"",IF(COUNTIF(G114:K114,"No")&gt;0,"EXCLUDE","INCLUDE"))</f>
        <v/>
      </c>
      <c r="M114" s="11" t="str">
        <f>IF(L114&lt;&gt;"EXCLUDE","",IF(G114="No","Wrong domain (non-AECO)",IF(H114="No","Digital Twin not core / buzzword",IF(I114="No","No Design for Safety/Quality/PtD",IF(J114="No","Wrong publication type",IF(K114="No","Non-English",""))))))</f>
        <v/>
      </c>
      <c r="N114" s="12"/>
      <c r="O114" s="12"/>
      <c r="P114" s="13"/>
      <c r="Q114" s="13"/>
      <c r="R114" s="13"/>
      <c r="S114" s="11" t="str">
        <f>IF(N114&lt;&gt;"Yes","",IF(COUNTBLANK(P114:R114)=3,"",IF(COUNTIF(P114:R114,"No")&gt;0,"EXCLUDE","INCLUDE")))</f>
        <v/>
      </c>
      <c r="T114" s="11" t="str">
        <f>IF(S114&lt;&gt;"EXCLUDE","",IF(P114="No","Digital Twin mentioned only, not the subject",IF(Q114="No","No Design for Safety/Quality in full text",IF(R114="No","Methodology not codable",""))))</f>
        <v/>
      </c>
      <c r="U114" s="14"/>
      <c r="V114" s="14"/>
      <c r="W114" s="14"/>
      <c r="X114" s="14"/>
      <c r="Y114" s="11" t="str">
        <f>IF(SUM(V114:X114)=0,"",IF(SUM(V114:X114)&gt;=2,"Multi","Single"))</f>
        <v/>
      </c>
      <c r="Z114" s="14"/>
      <c r="AA114" s="14"/>
      <c r="AB114" s="14"/>
      <c r="AC114" s="14"/>
      <c r="AD114" s="14"/>
      <c r="AE114" s="14"/>
      <c r="AF114" s="14"/>
      <c r="AG114" s="15"/>
    </row>
    <row r="115" spans="1:33">
      <c r="A115" s="8" t="s">
        <v>239</v>
      </c>
      <c r="B115" s="9"/>
      <c r="C115" s="8"/>
      <c r="D115" s="9"/>
      <c r="E115" s="9"/>
      <c r="F115" s="8"/>
      <c r="G115" s="10"/>
      <c r="H115" s="10"/>
      <c r="I115" s="10"/>
      <c r="J115" s="10"/>
      <c r="K115" s="10"/>
      <c r="L115" s="11" t="str">
        <f>IF(COUNTBLANK(G115:K115)=5,"",IF(COUNTIF(G115:K115,"No")&gt;0,"EXCLUDE","INCLUDE"))</f>
        <v/>
      </c>
      <c r="M115" s="11" t="str">
        <f>IF(L115&lt;&gt;"EXCLUDE","",IF(G115="No","Wrong domain (non-AECO)",IF(H115="No","Digital Twin not core / buzzword",IF(I115="No","No Design for Safety/Quality/PtD",IF(J115="No","Wrong publication type",IF(K115="No","Non-English",""))))))</f>
        <v/>
      </c>
      <c r="N115" s="12"/>
      <c r="O115" s="12"/>
      <c r="P115" s="13"/>
      <c r="Q115" s="13"/>
      <c r="R115" s="13"/>
      <c r="S115" s="11" t="str">
        <f>IF(N115&lt;&gt;"Yes","",IF(COUNTBLANK(P115:R115)=3,"",IF(COUNTIF(P115:R115,"No")&gt;0,"EXCLUDE","INCLUDE")))</f>
        <v/>
      </c>
      <c r="T115" s="11" t="str">
        <f>IF(S115&lt;&gt;"EXCLUDE","",IF(P115="No","Digital Twin mentioned only, not the subject",IF(Q115="No","No Design for Safety/Quality in full text",IF(R115="No","Methodology not codable",""))))</f>
        <v/>
      </c>
      <c r="U115" s="14"/>
      <c r="V115" s="14"/>
      <c r="W115" s="14"/>
      <c r="X115" s="14"/>
      <c r="Y115" s="11" t="str">
        <f>IF(SUM(V115:X115)=0,"",IF(SUM(V115:X115)&gt;=2,"Multi","Single"))</f>
        <v/>
      </c>
      <c r="Z115" s="14"/>
      <c r="AA115" s="14"/>
      <c r="AB115" s="14"/>
      <c r="AC115" s="14"/>
      <c r="AD115" s="14"/>
      <c r="AE115" s="14"/>
      <c r="AF115" s="14"/>
      <c r="AG115" s="15"/>
    </row>
    <row r="116" spans="1:33">
      <c r="A116" s="8" t="s">
        <v>240</v>
      </c>
      <c r="B116" s="9"/>
      <c r="C116" s="8"/>
      <c r="D116" s="9"/>
      <c r="E116" s="9"/>
      <c r="F116" s="8"/>
      <c r="G116" s="10"/>
      <c r="H116" s="10"/>
      <c r="I116" s="10"/>
      <c r="J116" s="10"/>
      <c r="K116" s="10"/>
      <c r="L116" s="11" t="str">
        <f>IF(COUNTBLANK(G116:K116)=5,"",IF(COUNTIF(G116:K116,"No")&gt;0,"EXCLUDE","INCLUDE"))</f>
        <v/>
      </c>
      <c r="M116" s="11" t="str">
        <f>IF(L116&lt;&gt;"EXCLUDE","",IF(G116="No","Wrong domain (non-AECO)",IF(H116="No","Digital Twin not core / buzzword",IF(I116="No","No Design for Safety/Quality/PtD",IF(J116="No","Wrong publication type",IF(K116="No","Non-English",""))))))</f>
        <v/>
      </c>
      <c r="N116" s="12"/>
      <c r="O116" s="12"/>
      <c r="P116" s="13"/>
      <c r="Q116" s="13"/>
      <c r="R116" s="13"/>
      <c r="S116" s="11" t="str">
        <f>IF(N116&lt;&gt;"Yes","",IF(COUNTBLANK(P116:R116)=3,"",IF(COUNTIF(P116:R116,"No")&gt;0,"EXCLUDE","INCLUDE")))</f>
        <v/>
      </c>
      <c r="T116" s="11" t="str">
        <f>IF(S116&lt;&gt;"EXCLUDE","",IF(P116="No","Digital Twin mentioned only, not the subject",IF(Q116="No","No Design for Safety/Quality in full text",IF(R116="No","Methodology not codable",""))))</f>
        <v/>
      </c>
      <c r="U116" s="14"/>
      <c r="V116" s="14"/>
      <c r="W116" s="14"/>
      <c r="X116" s="14"/>
      <c r="Y116" s="11" t="str">
        <f>IF(SUM(V116:X116)=0,"",IF(SUM(V116:X116)&gt;=2,"Multi","Single"))</f>
        <v/>
      </c>
      <c r="Z116" s="14"/>
      <c r="AA116" s="14"/>
      <c r="AB116" s="14"/>
      <c r="AC116" s="14"/>
      <c r="AD116" s="14"/>
      <c r="AE116" s="14"/>
      <c r="AF116" s="14"/>
      <c r="AG116" s="15"/>
    </row>
    <row r="117" spans="1:33">
      <c r="A117" s="8" t="s">
        <v>241</v>
      </c>
      <c r="B117" s="9"/>
      <c r="C117" s="8"/>
      <c r="D117" s="9"/>
      <c r="E117" s="9"/>
      <c r="F117" s="8"/>
      <c r="G117" s="10"/>
      <c r="H117" s="10"/>
      <c r="I117" s="10"/>
      <c r="J117" s="10"/>
      <c r="K117" s="10"/>
      <c r="L117" s="11" t="str">
        <f>IF(COUNTBLANK(G117:K117)=5,"",IF(COUNTIF(G117:K117,"No")&gt;0,"EXCLUDE","INCLUDE"))</f>
        <v/>
      </c>
      <c r="M117" s="11" t="str">
        <f>IF(L117&lt;&gt;"EXCLUDE","",IF(G117="No","Wrong domain (non-AECO)",IF(H117="No","Digital Twin not core / buzzword",IF(I117="No","No Design for Safety/Quality/PtD",IF(J117="No","Wrong publication type",IF(K117="No","Non-English",""))))))</f>
        <v/>
      </c>
      <c r="N117" s="12"/>
      <c r="O117" s="12"/>
      <c r="P117" s="13"/>
      <c r="Q117" s="13"/>
      <c r="R117" s="13"/>
      <c r="S117" s="11" t="str">
        <f>IF(N117&lt;&gt;"Yes","",IF(COUNTBLANK(P117:R117)=3,"",IF(COUNTIF(P117:R117,"No")&gt;0,"EXCLUDE","INCLUDE")))</f>
        <v/>
      </c>
      <c r="T117" s="11" t="str">
        <f>IF(S117&lt;&gt;"EXCLUDE","",IF(P117="No","Digital Twin mentioned only, not the subject",IF(Q117="No","No Design for Safety/Quality in full text",IF(R117="No","Methodology not codable",""))))</f>
        <v/>
      </c>
      <c r="U117" s="14"/>
      <c r="V117" s="14"/>
      <c r="W117" s="14"/>
      <c r="X117" s="14"/>
      <c r="Y117" s="11" t="str">
        <f>IF(SUM(V117:X117)=0,"",IF(SUM(V117:X117)&gt;=2,"Multi","Single"))</f>
        <v/>
      </c>
      <c r="Z117" s="14"/>
      <c r="AA117" s="14"/>
      <c r="AB117" s="14"/>
      <c r="AC117" s="14"/>
      <c r="AD117" s="14"/>
      <c r="AE117" s="14"/>
      <c r="AF117" s="14"/>
      <c r="AG117" s="15"/>
    </row>
    <row r="118" spans="1:33">
      <c r="A118" s="8" t="s">
        <v>242</v>
      </c>
      <c r="B118" s="9"/>
      <c r="C118" s="8"/>
      <c r="D118" s="9"/>
      <c r="E118" s="9"/>
      <c r="F118" s="8"/>
      <c r="G118" s="10"/>
      <c r="H118" s="10"/>
      <c r="I118" s="10"/>
      <c r="J118" s="10"/>
      <c r="K118" s="10"/>
      <c r="L118" s="11" t="str">
        <f>IF(COUNTBLANK(G118:K118)=5,"",IF(COUNTIF(G118:K118,"No")&gt;0,"EXCLUDE","INCLUDE"))</f>
        <v/>
      </c>
      <c r="M118" s="11" t="str">
        <f>IF(L118&lt;&gt;"EXCLUDE","",IF(G118="No","Wrong domain (non-AECO)",IF(H118="No","Digital Twin not core / buzzword",IF(I118="No","No Design for Safety/Quality/PtD",IF(J118="No","Wrong publication type",IF(K118="No","Non-English",""))))))</f>
        <v/>
      </c>
      <c r="N118" s="12"/>
      <c r="O118" s="12"/>
      <c r="P118" s="13"/>
      <c r="Q118" s="13"/>
      <c r="R118" s="13"/>
      <c r="S118" s="11" t="str">
        <f>IF(N118&lt;&gt;"Yes","",IF(COUNTBLANK(P118:R118)=3,"",IF(COUNTIF(P118:R118,"No")&gt;0,"EXCLUDE","INCLUDE")))</f>
        <v/>
      </c>
      <c r="T118" s="11" t="str">
        <f>IF(S118&lt;&gt;"EXCLUDE","",IF(P118="No","Digital Twin mentioned only, not the subject",IF(Q118="No","No Design for Safety/Quality in full text",IF(R118="No","Methodology not codable",""))))</f>
        <v/>
      </c>
      <c r="U118" s="14"/>
      <c r="V118" s="14"/>
      <c r="W118" s="14"/>
      <c r="X118" s="14"/>
      <c r="Y118" s="11" t="str">
        <f>IF(SUM(V118:X118)=0,"",IF(SUM(V118:X118)&gt;=2,"Multi","Single"))</f>
        <v/>
      </c>
      <c r="Z118" s="14"/>
      <c r="AA118" s="14"/>
      <c r="AB118" s="14"/>
      <c r="AC118" s="14"/>
      <c r="AD118" s="14"/>
      <c r="AE118" s="14"/>
      <c r="AF118" s="14"/>
      <c r="AG118" s="15"/>
    </row>
    <row r="119" spans="1:33">
      <c r="A119" s="8" t="s">
        <v>243</v>
      </c>
      <c r="B119" s="9"/>
      <c r="C119" s="8"/>
      <c r="D119" s="9"/>
      <c r="E119" s="9"/>
      <c r="F119" s="8"/>
      <c r="G119" s="10"/>
      <c r="H119" s="10"/>
      <c r="I119" s="10"/>
      <c r="J119" s="10"/>
      <c r="K119" s="10"/>
      <c r="L119" s="11" t="str">
        <f>IF(COUNTBLANK(G119:K119)=5,"",IF(COUNTIF(G119:K119,"No")&gt;0,"EXCLUDE","INCLUDE"))</f>
        <v/>
      </c>
      <c r="M119" s="11" t="str">
        <f>IF(L119&lt;&gt;"EXCLUDE","",IF(G119="No","Wrong domain (non-AECO)",IF(H119="No","Digital Twin not core / buzzword",IF(I119="No","No Design for Safety/Quality/PtD",IF(J119="No","Wrong publication type",IF(K119="No","Non-English",""))))))</f>
        <v/>
      </c>
      <c r="N119" s="12"/>
      <c r="O119" s="12"/>
      <c r="P119" s="13"/>
      <c r="Q119" s="13"/>
      <c r="R119" s="13"/>
      <c r="S119" s="11" t="str">
        <f>IF(N119&lt;&gt;"Yes","",IF(COUNTBLANK(P119:R119)=3,"",IF(COUNTIF(P119:R119,"No")&gt;0,"EXCLUDE","INCLUDE")))</f>
        <v/>
      </c>
      <c r="T119" s="11" t="str">
        <f>IF(S119&lt;&gt;"EXCLUDE","",IF(P119="No","Digital Twin mentioned only, not the subject",IF(Q119="No","No Design for Safety/Quality in full text",IF(R119="No","Methodology not codable",""))))</f>
        <v/>
      </c>
      <c r="U119" s="14"/>
      <c r="V119" s="14"/>
      <c r="W119" s="14"/>
      <c r="X119" s="14"/>
      <c r="Y119" s="11" t="str">
        <f>IF(SUM(V119:X119)=0,"",IF(SUM(V119:X119)&gt;=2,"Multi","Single"))</f>
        <v/>
      </c>
      <c r="Z119" s="14"/>
      <c r="AA119" s="14"/>
      <c r="AB119" s="14"/>
      <c r="AC119" s="14"/>
      <c r="AD119" s="14"/>
      <c r="AE119" s="14"/>
      <c r="AF119" s="14"/>
      <c r="AG119" s="15"/>
    </row>
    <row r="120" spans="1:33">
      <c r="A120" s="8" t="s">
        <v>244</v>
      </c>
      <c r="B120" s="9"/>
      <c r="C120" s="8"/>
      <c r="D120" s="9"/>
      <c r="E120" s="9"/>
      <c r="F120" s="8"/>
      <c r="G120" s="10"/>
      <c r="H120" s="10"/>
      <c r="I120" s="10"/>
      <c r="J120" s="10"/>
      <c r="K120" s="10"/>
      <c r="L120" s="11" t="str">
        <f>IF(COUNTBLANK(G120:K120)=5,"",IF(COUNTIF(G120:K120,"No")&gt;0,"EXCLUDE","INCLUDE"))</f>
        <v/>
      </c>
      <c r="M120" s="11" t="str">
        <f>IF(L120&lt;&gt;"EXCLUDE","",IF(G120="No","Wrong domain (non-AECO)",IF(H120="No","Digital Twin not core / buzzword",IF(I120="No","No Design for Safety/Quality/PtD",IF(J120="No","Wrong publication type",IF(K120="No","Non-English",""))))))</f>
        <v/>
      </c>
      <c r="N120" s="12"/>
      <c r="O120" s="12"/>
      <c r="P120" s="13"/>
      <c r="Q120" s="13"/>
      <c r="R120" s="13"/>
      <c r="S120" s="11" t="str">
        <f>IF(N120&lt;&gt;"Yes","",IF(COUNTBLANK(P120:R120)=3,"",IF(COUNTIF(P120:R120,"No")&gt;0,"EXCLUDE","INCLUDE")))</f>
        <v/>
      </c>
      <c r="T120" s="11" t="str">
        <f>IF(S120&lt;&gt;"EXCLUDE","",IF(P120="No","Digital Twin mentioned only, not the subject",IF(Q120="No","No Design for Safety/Quality in full text",IF(R120="No","Methodology not codable",""))))</f>
        <v/>
      </c>
      <c r="U120" s="14"/>
      <c r="V120" s="14"/>
      <c r="W120" s="14"/>
      <c r="X120" s="14"/>
      <c r="Y120" s="11" t="str">
        <f>IF(SUM(V120:X120)=0,"",IF(SUM(V120:X120)&gt;=2,"Multi","Single"))</f>
        <v/>
      </c>
      <c r="Z120" s="14"/>
      <c r="AA120" s="14"/>
      <c r="AB120" s="14"/>
      <c r="AC120" s="14"/>
      <c r="AD120" s="14"/>
      <c r="AE120" s="14"/>
      <c r="AF120" s="14"/>
      <c r="AG120" s="15"/>
    </row>
    <row r="121" spans="1:33">
      <c r="A121" s="8" t="s">
        <v>245</v>
      </c>
      <c r="B121" s="9"/>
      <c r="C121" s="8"/>
      <c r="D121" s="9"/>
      <c r="E121" s="9"/>
      <c r="F121" s="8"/>
      <c r="G121" s="10"/>
      <c r="H121" s="10"/>
      <c r="I121" s="10"/>
      <c r="J121" s="10"/>
      <c r="K121" s="10"/>
      <c r="L121" s="11" t="str">
        <f>IF(COUNTBLANK(G121:K121)=5,"",IF(COUNTIF(G121:K121,"No")&gt;0,"EXCLUDE","INCLUDE"))</f>
        <v/>
      </c>
      <c r="M121" s="11" t="str">
        <f>IF(L121&lt;&gt;"EXCLUDE","",IF(G121="No","Wrong domain (non-AECO)",IF(H121="No","Digital Twin not core / buzzword",IF(I121="No","No Design for Safety/Quality/PtD",IF(J121="No","Wrong publication type",IF(K121="No","Non-English",""))))))</f>
        <v/>
      </c>
      <c r="N121" s="12"/>
      <c r="O121" s="12"/>
      <c r="P121" s="13"/>
      <c r="Q121" s="13"/>
      <c r="R121" s="13"/>
      <c r="S121" s="11" t="str">
        <f>IF(N121&lt;&gt;"Yes","",IF(COUNTBLANK(P121:R121)=3,"",IF(COUNTIF(P121:R121,"No")&gt;0,"EXCLUDE","INCLUDE")))</f>
        <v/>
      </c>
      <c r="T121" s="11" t="str">
        <f>IF(S121&lt;&gt;"EXCLUDE","",IF(P121="No","Digital Twin mentioned only, not the subject",IF(Q121="No","No Design for Safety/Quality in full text",IF(R121="No","Methodology not codable",""))))</f>
        <v/>
      </c>
      <c r="U121" s="14"/>
      <c r="V121" s="14"/>
      <c r="W121" s="14"/>
      <c r="X121" s="14"/>
      <c r="Y121" s="11" t="str">
        <f>IF(SUM(V121:X121)=0,"",IF(SUM(V121:X121)&gt;=2,"Multi","Single"))</f>
        <v/>
      </c>
      <c r="Z121" s="14"/>
      <c r="AA121" s="14"/>
      <c r="AB121" s="14"/>
      <c r="AC121" s="14"/>
      <c r="AD121" s="14"/>
      <c r="AE121" s="14"/>
      <c r="AF121" s="14"/>
      <c r="AG121" s="15"/>
    </row>
    <row r="122" spans="1:33">
      <c r="A122" s="8" t="s">
        <v>246</v>
      </c>
      <c r="B122" s="9"/>
      <c r="C122" s="8"/>
      <c r="D122" s="9"/>
      <c r="E122" s="9"/>
      <c r="F122" s="8"/>
      <c r="G122" s="10"/>
      <c r="H122" s="10"/>
      <c r="I122" s="10"/>
      <c r="J122" s="10"/>
      <c r="K122" s="10"/>
      <c r="L122" s="11" t="str">
        <f>IF(COUNTBLANK(G122:K122)=5,"",IF(COUNTIF(G122:K122,"No")&gt;0,"EXCLUDE","INCLUDE"))</f>
        <v/>
      </c>
      <c r="M122" s="11" t="str">
        <f>IF(L122&lt;&gt;"EXCLUDE","",IF(G122="No","Wrong domain (non-AECO)",IF(H122="No","Digital Twin not core / buzzword",IF(I122="No","No Design for Safety/Quality/PtD",IF(J122="No","Wrong publication type",IF(K122="No","Non-English",""))))))</f>
        <v/>
      </c>
      <c r="N122" s="12"/>
      <c r="O122" s="12"/>
      <c r="P122" s="13"/>
      <c r="Q122" s="13"/>
      <c r="R122" s="13"/>
      <c r="S122" s="11" t="str">
        <f>IF(N122&lt;&gt;"Yes","",IF(COUNTBLANK(P122:R122)=3,"",IF(COUNTIF(P122:R122,"No")&gt;0,"EXCLUDE","INCLUDE")))</f>
        <v/>
      </c>
      <c r="T122" s="11" t="str">
        <f>IF(S122&lt;&gt;"EXCLUDE","",IF(P122="No","Digital Twin mentioned only, not the subject",IF(Q122="No","No Design for Safety/Quality in full text",IF(R122="No","Methodology not codable",""))))</f>
        <v/>
      </c>
      <c r="U122" s="14"/>
      <c r="V122" s="14"/>
      <c r="W122" s="14"/>
      <c r="X122" s="14"/>
      <c r="Y122" s="11" t="str">
        <f>IF(SUM(V122:X122)=0,"",IF(SUM(V122:X122)&gt;=2,"Multi","Single"))</f>
        <v/>
      </c>
      <c r="Z122" s="14"/>
      <c r="AA122" s="14"/>
      <c r="AB122" s="14"/>
      <c r="AC122" s="14"/>
      <c r="AD122" s="14"/>
      <c r="AE122" s="14"/>
      <c r="AF122" s="14"/>
      <c r="AG122" s="15"/>
    </row>
    <row r="123" spans="1:33">
      <c r="A123" s="8" t="s">
        <v>247</v>
      </c>
      <c r="B123" s="9"/>
      <c r="C123" s="8"/>
      <c r="D123" s="9"/>
      <c r="E123" s="9"/>
      <c r="F123" s="8"/>
      <c r="G123" s="10"/>
      <c r="H123" s="10"/>
      <c r="I123" s="10"/>
      <c r="J123" s="10"/>
      <c r="K123" s="10"/>
      <c r="L123" s="11" t="str">
        <f>IF(COUNTBLANK(G123:K123)=5,"",IF(COUNTIF(G123:K123,"No")&gt;0,"EXCLUDE","INCLUDE"))</f>
        <v/>
      </c>
      <c r="M123" s="11" t="str">
        <f>IF(L123&lt;&gt;"EXCLUDE","",IF(G123="No","Wrong domain (non-AECO)",IF(H123="No","Digital Twin not core / buzzword",IF(I123="No","No Design for Safety/Quality/PtD",IF(J123="No","Wrong publication type",IF(K123="No","Non-English",""))))))</f>
        <v/>
      </c>
      <c r="N123" s="12"/>
      <c r="O123" s="12"/>
      <c r="P123" s="13"/>
      <c r="Q123" s="13"/>
      <c r="R123" s="13"/>
      <c r="S123" s="11" t="str">
        <f>IF(N123&lt;&gt;"Yes","",IF(COUNTBLANK(P123:R123)=3,"",IF(COUNTIF(P123:R123,"No")&gt;0,"EXCLUDE","INCLUDE")))</f>
        <v/>
      </c>
      <c r="T123" s="11" t="str">
        <f>IF(S123&lt;&gt;"EXCLUDE","",IF(P123="No","Digital Twin mentioned only, not the subject",IF(Q123="No","No Design for Safety/Quality in full text",IF(R123="No","Methodology not codable",""))))</f>
        <v/>
      </c>
      <c r="U123" s="14"/>
      <c r="V123" s="14"/>
      <c r="W123" s="14"/>
      <c r="X123" s="14"/>
      <c r="Y123" s="11" t="str">
        <f>IF(SUM(V123:X123)=0,"",IF(SUM(V123:X123)&gt;=2,"Multi","Single"))</f>
        <v/>
      </c>
      <c r="Z123" s="14"/>
      <c r="AA123" s="14"/>
      <c r="AB123" s="14"/>
      <c r="AC123" s="14"/>
      <c r="AD123" s="14"/>
      <c r="AE123" s="14"/>
      <c r="AF123" s="14"/>
      <c r="AG123" s="15"/>
    </row>
    <row r="124" spans="1:33">
      <c r="A124" s="8" t="s">
        <v>248</v>
      </c>
      <c r="B124" s="9"/>
      <c r="C124" s="8"/>
      <c r="D124" s="9"/>
      <c r="E124" s="9"/>
      <c r="F124" s="8"/>
      <c r="G124" s="10"/>
      <c r="H124" s="10"/>
      <c r="I124" s="10"/>
      <c r="J124" s="10"/>
      <c r="K124" s="10"/>
      <c r="L124" s="11" t="str">
        <f>IF(COUNTBLANK(G124:K124)=5,"",IF(COUNTIF(G124:K124,"No")&gt;0,"EXCLUDE","INCLUDE"))</f>
        <v/>
      </c>
      <c r="M124" s="11" t="str">
        <f>IF(L124&lt;&gt;"EXCLUDE","",IF(G124="No","Wrong domain (non-AECO)",IF(H124="No","Digital Twin not core / buzzword",IF(I124="No","No Design for Safety/Quality/PtD",IF(J124="No","Wrong publication type",IF(K124="No","Non-English",""))))))</f>
        <v/>
      </c>
      <c r="N124" s="12"/>
      <c r="O124" s="12"/>
      <c r="P124" s="13"/>
      <c r="Q124" s="13"/>
      <c r="R124" s="13"/>
      <c r="S124" s="11" t="str">
        <f>IF(N124&lt;&gt;"Yes","",IF(COUNTBLANK(P124:R124)=3,"",IF(COUNTIF(P124:R124,"No")&gt;0,"EXCLUDE","INCLUDE")))</f>
        <v/>
      </c>
      <c r="T124" s="11" t="str">
        <f>IF(S124&lt;&gt;"EXCLUDE","",IF(P124="No","Digital Twin mentioned only, not the subject",IF(Q124="No","No Design for Safety/Quality in full text",IF(R124="No","Methodology not codable",""))))</f>
        <v/>
      </c>
      <c r="U124" s="14"/>
      <c r="V124" s="14"/>
      <c r="W124" s="14"/>
      <c r="X124" s="14"/>
      <c r="Y124" s="11" t="str">
        <f>IF(SUM(V124:X124)=0,"",IF(SUM(V124:X124)&gt;=2,"Multi","Single"))</f>
        <v/>
      </c>
      <c r="Z124" s="14"/>
      <c r="AA124" s="14"/>
      <c r="AB124" s="14"/>
      <c r="AC124" s="14"/>
      <c r="AD124" s="14"/>
      <c r="AE124" s="14"/>
      <c r="AF124" s="14"/>
      <c r="AG124" s="15"/>
    </row>
    <row r="125" spans="1:33">
      <c r="A125" s="8" t="s">
        <v>249</v>
      </c>
      <c r="B125" s="9"/>
      <c r="C125" s="8"/>
      <c r="D125" s="9"/>
      <c r="E125" s="9"/>
      <c r="F125" s="8"/>
      <c r="G125" s="10"/>
      <c r="H125" s="10"/>
      <c r="I125" s="10"/>
      <c r="J125" s="10"/>
      <c r="K125" s="10"/>
      <c r="L125" s="11" t="str">
        <f>IF(COUNTBLANK(G125:K125)=5,"",IF(COUNTIF(G125:K125,"No")&gt;0,"EXCLUDE","INCLUDE"))</f>
        <v/>
      </c>
      <c r="M125" s="11" t="str">
        <f>IF(L125&lt;&gt;"EXCLUDE","",IF(G125="No","Wrong domain (non-AECO)",IF(H125="No","Digital Twin not core / buzzword",IF(I125="No","No Design for Safety/Quality/PtD",IF(J125="No","Wrong publication type",IF(K125="No","Non-English",""))))))</f>
        <v/>
      </c>
      <c r="N125" s="12"/>
      <c r="O125" s="12"/>
      <c r="P125" s="13"/>
      <c r="Q125" s="13"/>
      <c r="R125" s="13"/>
      <c r="S125" s="11" t="str">
        <f>IF(N125&lt;&gt;"Yes","",IF(COUNTBLANK(P125:R125)=3,"",IF(COUNTIF(P125:R125,"No")&gt;0,"EXCLUDE","INCLUDE")))</f>
        <v/>
      </c>
      <c r="T125" s="11" t="str">
        <f>IF(S125&lt;&gt;"EXCLUDE","",IF(P125="No","Digital Twin mentioned only, not the subject",IF(Q125="No","No Design for Safety/Quality in full text",IF(R125="No","Methodology not codable",""))))</f>
        <v/>
      </c>
      <c r="U125" s="14"/>
      <c r="V125" s="14"/>
      <c r="W125" s="14"/>
      <c r="X125" s="14"/>
      <c r="Y125" s="11" t="str">
        <f>IF(SUM(V125:X125)=0,"",IF(SUM(V125:X125)&gt;=2,"Multi","Single"))</f>
        <v/>
      </c>
      <c r="Z125" s="14"/>
      <c r="AA125" s="14"/>
      <c r="AB125" s="14"/>
      <c r="AC125" s="14"/>
      <c r="AD125" s="14"/>
      <c r="AE125" s="14"/>
      <c r="AF125" s="14"/>
      <c r="AG125" s="15"/>
    </row>
    <row r="126" spans="1:33">
      <c r="A126" s="8" t="s">
        <v>250</v>
      </c>
      <c r="B126" s="9"/>
      <c r="C126" s="8"/>
      <c r="D126" s="9"/>
      <c r="E126" s="9"/>
      <c r="F126" s="8"/>
      <c r="G126" s="10"/>
      <c r="H126" s="10"/>
      <c r="I126" s="10"/>
      <c r="J126" s="10"/>
      <c r="K126" s="10"/>
      <c r="L126" s="11" t="str">
        <f>IF(COUNTBLANK(G126:K126)=5,"",IF(COUNTIF(G126:K126,"No")&gt;0,"EXCLUDE","INCLUDE"))</f>
        <v/>
      </c>
      <c r="M126" s="11" t="str">
        <f>IF(L126&lt;&gt;"EXCLUDE","",IF(G126="No","Wrong domain (non-AECO)",IF(H126="No","Digital Twin not core / buzzword",IF(I126="No","No Design for Safety/Quality/PtD",IF(J126="No","Wrong publication type",IF(K126="No","Non-English",""))))))</f>
        <v/>
      </c>
      <c r="N126" s="12"/>
      <c r="O126" s="12"/>
      <c r="P126" s="13"/>
      <c r="Q126" s="13"/>
      <c r="R126" s="13"/>
      <c r="S126" s="11" t="str">
        <f>IF(N126&lt;&gt;"Yes","",IF(COUNTBLANK(P126:R126)=3,"",IF(COUNTIF(P126:R126,"No")&gt;0,"EXCLUDE","INCLUDE")))</f>
        <v/>
      </c>
      <c r="T126" s="11" t="str">
        <f>IF(S126&lt;&gt;"EXCLUDE","",IF(P126="No","Digital Twin mentioned only, not the subject",IF(Q126="No","No Design for Safety/Quality in full text",IF(R126="No","Methodology not codable",""))))</f>
        <v/>
      </c>
      <c r="U126" s="14"/>
      <c r="V126" s="14"/>
      <c r="W126" s="14"/>
      <c r="X126" s="14"/>
      <c r="Y126" s="11" t="str">
        <f>IF(SUM(V126:X126)=0,"",IF(SUM(V126:X126)&gt;=2,"Multi","Single"))</f>
        <v/>
      </c>
      <c r="Z126" s="14"/>
      <c r="AA126" s="14"/>
      <c r="AB126" s="14"/>
      <c r="AC126" s="14"/>
      <c r="AD126" s="14"/>
      <c r="AE126" s="14"/>
      <c r="AF126" s="14"/>
      <c r="AG126" s="15"/>
    </row>
    <row r="127" spans="1:33">
      <c r="A127" s="8" t="s">
        <v>251</v>
      </c>
      <c r="B127" s="9"/>
      <c r="C127" s="8"/>
      <c r="D127" s="9"/>
      <c r="E127" s="9"/>
      <c r="F127" s="8"/>
      <c r="G127" s="10"/>
      <c r="H127" s="10"/>
      <c r="I127" s="10"/>
      <c r="J127" s="10"/>
      <c r="K127" s="10"/>
      <c r="L127" s="11" t="str">
        <f>IF(COUNTBLANK(G127:K127)=5,"",IF(COUNTIF(G127:K127,"No")&gt;0,"EXCLUDE","INCLUDE"))</f>
        <v/>
      </c>
      <c r="M127" s="11" t="str">
        <f>IF(L127&lt;&gt;"EXCLUDE","",IF(G127="No","Wrong domain (non-AECO)",IF(H127="No","Digital Twin not core / buzzword",IF(I127="No","No Design for Safety/Quality/PtD",IF(J127="No","Wrong publication type",IF(K127="No","Non-English",""))))))</f>
        <v/>
      </c>
      <c r="N127" s="12"/>
      <c r="O127" s="12"/>
      <c r="P127" s="13"/>
      <c r="Q127" s="13"/>
      <c r="R127" s="13"/>
      <c r="S127" s="11" t="str">
        <f>IF(N127&lt;&gt;"Yes","",IF(COUNTBLANK(P127:R127)=3,"",IF(COUNTIF(P127:R127,"No")&gt;0,"EXCLUDE","INCLUDE")))</f>
        <v/>
      </c>
      <c r="T127" s="11" t="str">
        <f>IF(S127&lt;&gt;"EXCLUDE","",IF(P127="No","Digital Twin mentioned only, not the subject",IF(Q127="No","No Design for Safety/Quality in full text",IF(R127="No","Methodology not codable",""))))</f>
        <v/>
      </c>
      <c r="U127" s="14"/>
      <c r="V127" s="14"/>
      <c r="W127" s="14"/>
      <c r="X127" s="14"/>
      <c r="Y127" s="11" t="str">
        <f>IF(SUM(V127:X127)=0,"",IF(SUM(V127:X127)&gt;=2,"Multi","Single"))</f>
        <v/>
      </c>
      <c r="Z127" s="14"/>
      <c r="AA127" s="14"/>
      <c r="AB127" s="14"/>
      <c r="AC127" s="14"/>
      <c r="AD127" s="14"/>
      <c r="AE127" s="14"/>
      <c r="AF127" s="14"/>
      <c r="AG127" s="15"/>
    </row>
    <row r="128" spans="1:33">
      <c r="A128" s="8" t="s">
        <v>252</v>
      </c>
      <c r="B128" s="9"/>
      <c r="C128" s="8"/>
      <c r="D128" s="9"/>
      <c r="E128" s="9"/>
      <c r="F128" s="8"/>
      <c r="G128" s="10"/>
      <c r="H128" s="10"/>
      <c r="I128" s="10"/>
      <c r="J128" s="10"/>
      <c r="K128" s="10"/>
      <c r="L128" s="11" t="str">
        <f>IF(COUNTBLANK(G128:K128)=5,"",IF(COUNTIF(G128:K128,"No")&gt;0,"EXCLUDE","INCLUDE"))</f>
        <v/>
      </c>
      <c r="M128" s="11" t="str">
        <f>IF(L128&lt;&gt;"EXCLUDE","",IF(G128="No","Wrong domain (non-AECO)",IF(H128="No","Digital Twin not core / buzzword",IF(I128="No","No Design for Safety/Quality/PtD",IF(J128="No","Wrong publication type",IF(K128="No","Non-English",""))))))</f>
        <v/>
      </c>
      <c r="N128" s="12"/>
      <c r="O128" s="12"/>
      <c r="P128" s="13"/>
      <c r="Q128" s="13"/>
      <c r="R128" s="13"/>
      <c r="S128" s="11" t="str">
        <f>IF(N128&lt;&gt;"Yes","",IF(COUNTBLANK(P128:R128)=3,"",IF(COUNTIF(P128:R128,"No")&gt;0,"EXCLUDE","INCLUDE")))</f>
        <v/>
      </c>
      <c r="T128" s="11" t="str">
        <f>IF(S128&lt;&gt;"EXCLUDE","",IF(P128="No","Digital Twin mentioned only, not the subject",IF(Q128="No","No Design for Safety/Quality in full text",IF(R128="No","Methodology not codable",""))))</f>
        <v/>
      </c>
      <c r="U128" s="14"/>
      <c r="V128" s="14"/>
      <c r="W128" s="14"/>
      <c r="X128" s="14"/>
      <c r="Y128" s="11" t="str">
        <f>IF(SUM(V128:X128)=0,"",IF(SUM(V128:X128)&gt;=2,"Multi","Single"))</f>
        <v/>
      </c>
      <c r="Z128" s="14"/>
      <c r="AA128" s="14"/>
      <c r="AB128" s="14"/>
      <c r="AC128" s="14"/>
      <c r="AD128" s="14"/>
      <c r="AE128" s="14"/>
      <c r="AF128" s="14"/>
      <c r="AG128" s="15"/>
    </row>
    <row r="129" spans="1:33">
      <c r="A129" s="8" t="s">
        <v>253</v>
      </c>
      <c r="B129" s="9"/>
      <c r="C129" s="8"/>
      <c r="D129" s="9"/>
      <c r="E129" s="9"/>
      <c r="F129" s="8"/>
      <c r="G129" s="10"/>
      <c r="H129" s="10"/>
      <c r="I129" s="10"/>
      <c r="J129" s="10"/>
      <c r="K129" s="10"/>
      <c r="L129" s="11" t="str">
        <f>IF(COUNTBLANK(G129:K129)=5,"",IF(COUNTIF(G129:K129,"No")&gt;0,"EXCLUDE","INCLUDE"))</f>
        <v/>
      </c>
      <c r="M129" s="11" t="str">
        <f>IF(L129&lt;&gt;"EXCLUDE","",IF(G129="No","Wrong domain (non-AECO)",IF(H129="No","Digital Twin not core / buzzword",IF(I129="No","No Design for Safety/Quality/PtD",IF(J129="No","Wrong publication type",IF(K129="No","Non-English",""))))))</f>
        <v/>
      </c>
      <c r="N129" s="12"/>
      <c r="O129" s="12"/>
      <c r="P129" s="13"/>
      <c r="Q129" s="13"/>
      <c r="R129" s="13"/>
      <c r="S129" s="11" t="str">
        <f>IF(N129&lt;&gt;"Yes","",IF(COUNTBLANK(P129:R129)=3,"",IF(COUNTIF(P129:R129,"No")&gt;0,"EXCLUDE","INCLUDE")))</f>
        <v/>
      </c>
      <c r="T129" s="11" t="str">
        <f>IF(S129&lt;&gt;"EXCLUDE","",IF(P129="No","Digital Twin mentioned only, not the subject",IF(Q129="No","No Design for Safety/Quality in full text",IF(R129="No","Methodology not codable",""))))</f>
        <v/>
      </c>
      <c r="U129" s="14"/>
      <c r="V129" s="14"/>
      <c r="W129" s="14"/>
      <c r="X129" s="14"/>
      <c r="Y129" s="11" t="str">
        <f>IF(SUM(V129:X129)=0,"",IF(SUM(V129:X129)&gt;=2,"Multi","Single"))</f>
        <v/>
      </c>
      <c r="Z129" s="14"/>
      <c r="AA129" s="14"/>
      <c r="AB129" s="14"/>
      <c r="AC129" s="14"/>
      <c r="AD129" s="14"/>
      <c r="AE129" s="14"/>
      <c r="AF129" s="14"/>
      <c r="AG129" s="15"/>
    </row>
    <row r="130" spans="1:33">
      <c r="A130" s="8" t="s">
        <v>254</v>
      </c>
      <c r="B130" s="9"/>
      <c r="C130" s="8"/>
      <c r="D130" s="9"/>
      <c r="E130" s="9"/>
      <c r="F130" s="8"/>
      <c r="G130" s="10"/>
      <c r="H130" s="10"/>
      <c r="I130" s="10"/>
      <c r="J130" s="10"/>
      <c r="K130" s="10"/>
      <c r="L130" s="11" t="str">
        <f>IF(COUNTBLANK(G130:K130)=5,"",IF(COUNTIF(G130:K130,"No")&gt;0,"EXCLUDE","INCLUDE"))</f>
        <v/>
      </c>
      <c r="M130" s="11" t="str">
        <f>IF(L130&lt;&gt;"EXCLUDE","",IF(G130="No","Wrong domain (non-AECO)",IF(H130="No","Digital Twin not core / buzzword",IF(I130="No","No Design for Safety/Quality/PtD",IF(J130="No","Wrong publication type",IF(K130="No","Non-English",""))))))</f>
        <v/>
      </c>
      <c r="N130" s="12"/>
      <c r="O130" s="12"/>
      <c r="P130" s="13"/>
      <c r="Q130" s="13"/>
      <c r="R130" s="13"/>
      <c r="S130" s="11" t="str">
        <f>IF(N130&lt;&gt;"Yes","",IF(COUNTBLANK(P130:R130)=3,"",IF(COUNTIF(P130:R130,"No")&gt;0,"EXCLUDE","INCLUDE")))</f>
        <v/>
      </c>
      <c r="T130" s="11" t="str">
        <f>IF(S130&lt;&gt;"EXCLUDE","",IF(P130="No","Digital Twin mentioned only, not the subject",IF(Q130="No","No Design for Safety/Quality in full text",IF(R130="No","Methodology not codable",""))))</f>
        <v/>
      </c>
      <c r="U130" s="14"/>
      <c r="V130" s="14"/>
      <c r="W130" s="14"/>
      <c r="X130" s="14"/>
      <c r="Y130" s="11" t="str">
        <f>IF(SUM(V130:X130)=0,"",IF(SUM(V130:X130)&gt;=2,"Multi","Single"))</f>
        <v/>
      </c>
      <c r="Z130" s="14"/>
      <c r="AA130" s="14"/>
      <c r="AB130" s="14"/>
      <c r="AC130" s="14"/>
      <c r="AD130" s="14"/>
      <c r="AE130" s="14"/>
      <c r="AF130" s="14"/>
      <c r="AG130" s="15"/>
    </row>
    <row r="131" spans="1:33">
      <c r="A131" s="8" t="s">
        <v>255</v>
      </c>
      <c r="B131" s="9"/>
      <c r="C131" s="8"/>
      <c r="D131" s="9"/>
      <c r="E131" s="9"/>
      <c r="F131" s="8"/>
      <c r="G131" s="10"/>
      <c r="H131" s="10"/>
      <c r="I131" s="10"/>
      <c r="J131" s="10"/>
      <c r="K131" s="10"/>
      <c r="L131" s="11" t="str">
        <f>IF(COUNTBLANK(G131:K131)=5,"",IF(COUNTIF(G131:K131,"No")&gt;0,"EXCLUDE","INCLUDE"))</f>
        <v/>
      </c>
      <c r="M131" s="11" t="str">
        <f>IF(L131&lt;&gt;"EXCLUDE","",IF(G131="No","Wrong domain (non-AECO)",IF(H131="No","Digital Twin not core / buzzword",IF(I131="No","No Design for Safety/Quality/PtD",IF(J131="No","Wrong publication type",IF(K131="No","Non-English",""))))))</f>
        <v/>
      </c>
      <c r="N131" s="12"/>
      <c r="O131" s="12"/>
      <c r="P131" s="13"/>
      <c r="Q131" s="13"/>
      <c r="R131" s="13"/>
      <c r="S131" s="11" t="str">
        <f>IF(N131&lt;&gt;"Yes","",IF(COUNTBLANK(P131:R131)=3,"",IF(COUNTIF(P131:R131,"No")&gt;0,"EXCLUDE","INCLUDE")))</f>
        <v/>
      </c>
      <c r="T131" s="11" t="str">
        <f>IF(S131&lt;&gt;"EXCLUDE","",IF(P131="No","Digital Twin mentioned only, not the subject",IF(Q131="No","No Design for Safety/Quality in full text",IF(R131="No","Methodology not codable",""))))</f>
        <v/>
      </c>
      <c r="U131" s="14"/>
      <c r="V131" s="14"/>
      <c r="W131" s="14"/>
      <c r="X131" s="14"/>
      <c r="Y131" s="11" t="str">
        <f>IF(SUM(V131:X131)=0,"",IF(SUM(V131:X131)&gt;=2,"Multi","Single"))</f>
        <v/>
      </c>
      <c r="Z131" s="14"/>
      <c r="AA131" s="14"/>
      <c r="AB131" s="14"/>
      <c r="AC131" s="14"/>
      <c r="AD131" s="14"/>
      <c r="AE131" s="14"/>
      <c r="AF131" s="14"/>
      <c r="AG131" s="15"/>
    </row>
    <row r="132" spans="1:33">
      <c r="A132" s="8" t="s">
        <v>256</v>
      </c>
      <c r="B132" s="9"/>
      <c r="C132" s="8"/>
      <c r="D132" s="9"/>
      <c r="E132" s="9"/>
      <c r="F132" s="8"/>
      <c r="G132" s="10"/>
      <c r="H132" s="10"/>
      <c r="I132" s="10"/>
      <c r="J132" s="10"/>
      <c r="K132" s="10"/>
      <c r="L132" s="11" t="str">
        <f>IF(COUNTBLANK(G132:K132)=5,"",IF(COUNTIF(G132:K132,"No")&gt;0,"EXCLUDE","INCLUDE"))</f>
        <v/>
      </c>
      <c r="M132" s="11" t="str">
        <f>IF(L132&lt;&gt;"EXCLUDE","",IF(G132="No","Wrong domain (non-AECO)",IF(H132="No","Digital Twin not core / buzzword",IF(I132="No","No Design for Safety/Quality/PtD",IF(J132="No","Wrong publication type",IF(K132="No","Non-English",""))))))</f>
        <v/>
      </c>
      <c r="N132" s="12"/>
      <c r="O132" s="12"/>
      <c r="P132" s="13"/>
      <c r="Q132" s="13"/>
      <c r="R132" s="13"/>
      <c r="S132" s="11" t="str">
        <f>IF(N132&lt;&gt;"Yes","",IF(COUNTBLANK(P132:R132)=3,"",IF(COUNTIF(P132:R132,"No")&gt;0,"EXCLUDE","INCLUDE")))</f>
        <v/>
      </c>
      <c r="T132" s="11" t="str">
        <f>IF(S132&lt;&gt;"EXCLUDE","",IF(P132="No","Digital Twin mentioned only, not the subject",IF(Q132="No","No Design for Safety/Quality in full text",IF(R132="No","Methodology not codable",""))))</f>
        <v/>
      </c>
      <c r="U132" s="14"/>
      <c r="V132" s="14"/>
      <c r="W132" s="14"/>
      <c r="X132" s="14"/>
      <c r="Y132" s="11" t="str">
        <f>IF(SUM(V132:X132)=0,"",IF(SUM(V132:X132)&gt;=2,"Multi","Single"))</f>
        <v/>
      </c>
      <c r="Z132" s="14"/>
      <c r="AA132" s="14"/>
      <c r="AB132" s="14"/>
      <c r="AC132" s="14"/>
      <c r="AD132" s="14"/>
      <c r="AE132" s="14"/>
      <c r="AF132" s="14"/>
      <c r="AG132" s="15"/>
    </row>
    <row r="133" spans="1:33">
      <c r="A133" s="8" t="s">
        <v>257</v>
      </c>
      <c r="B133" s="9"/>
      <c r="C133" s="8"/>
      <c r="D133" s="9"/>
      <c r="E133" s="9"/>
      <c r="F133" s="8"/>
      <c r="G133" s="10"/>
      <c r="H133" s="10"/>
      <c r="I133" s="10"/>
      <c r="J133" s="10"/>
      <c r="K133" s="10"/>
      <c r="L133" s="11" t="str">
        <f>IF(COUNTBLANK(G133:K133)=5,"",IF(COUNTIF(G133:K133,"No")&gt;0,"EXCLUDE","INCLUDE"))</f>
        <v/>
      </c>
      <c r="M133" s="11" t="str">
        <f>IF(L133&lt;&gt;"EXCLUDE","",IF(G133="No","Wrong domain (non-AECO)",IF(H133="No","Digital Twin not core / buzzword",IF(I133="No","No Design for Safety/Quality/PtD",IF(J133="No","Wrong publication type",IF(K133="No","Non-English",""))))))</f>
        <v/>
      </c>
      <c r="N133" s="12"/>
      <c r="O133" s="12"/>
      <c r="P133" s="13"/>
      <c r="Q133" s="13"/>
      <c r="R133" s="13"/>
      <c r="S133" s="11" t="str">
        <f>IF(N133&lt;&gt;"Yes","",IF(COUNTBLANK(P133:R133)=3,"",IF(COUNTIF(P133:R133,"No")&gt;0,"EXCLUDE","INCLUDE")))</f>
        <v/>
      </c>
      <c r="T133" s="11" t="str">
        <f>IF(S133&lt;&gt;"EXCLUDE","",IF(P133="No","Digital Twin mentioned only, not the subject",IF(Q133="No","No Design for Safety/Quality in full text",IF(R133="No","Methodology not codable",""))))</f>
        <v/>
      </c>
      <c r="U133" s="14"/>
      <c r="V133" s="14"/>
      <c r="W133" s="14"/>
      <c r="X133" s="14"/>
      <c r="Y133" s="11" t="str">
        <f>IF(SUM(V133:X133)=0,"",IF(SUM(V133:X133)&gt;=2,"Multi","Single"))</f>
        <v/>
      </c>
      <c r="Z133" s="14"/>
      <c r="AA133" s="14"/>
      <c r="AB133" s="14"/>
      <c r="AC133" s="14"/>
      <c r="AD133" s="14"/>
      <c r="AE133" s="14"/>
      <c r="AF133" s="14"/>
      <c r="AG133" s="15"/>
    </row>
    <row r="134" spans="1:33">
      <c r="A134" s="8" t="s">
        <v>258</v>
      </c>
      <c r="B134" s="9"/>
      <c r="C134" s="8"/>
      <c r="D134" s="9"/>
      <c r="E134" s="9"/>
      <c r="F134" s="8"/>
      <c r="G134" s="10"/>
      <c r="H134" s="10"/>
      <c r="I134" s="10"/>
      <c r="J134" s="10"/>
      <c r="K134" s="10"/>
      <c r="L134" s="11" t="str">
        <f>IF(COUNTBLANK(G134:K134)=5,"",IF(COUNTIF(G134:K134,"No")&gt;0,"EXCLUDE","INCLUDE"))</f>
        <v/>
      </c>
      <c r="M134" s="11" t="str">
        <f>IF(L134&lt;&gt;"EXCLUDE","",IF(G134="No","Wrong domain (non-AECO)",IF(H134="No","Digital Twin not core / buzzword",IF(I134="No","No Design for Safety/Quality/PtD",IF(J134="No","Wrong publication type",IF(K134="No","Non-English",""))))))</f>
        <v/>
      </c>
      <c r="N134" s="12"/>
      <c r="O134" s="12"/>
      <c r="P134" s="13"/>
      <c r="Q134" s="13"/>
      <c r="R134" s="13"/>
      <c r="S134" s="11" t="str">
        <f>IF(N134&lt;&gt;"Yes","",IF(COUNTBLANK(P134:R134)=3,"",IF(COUNTIF(P134:R134,"No")&gt;0,"EXCLUDE","INCLUDE")))</f>
        <v/>
      </c>
      <c r="T134" s="11" t="str">
        <f>IF(S134&lt;&gt;"EXCLUDE","",IF(P134="No","Digital Twin mentioned only, not the subject",IF(Q134="No","No Design for Safety/Quality in full text",IF(R134="No","Methodology not codable",""))))</f>
        <v/>
      </c>
      <c r="U134" s="14"/>
      <c r="V134" s="14"/>
      <c r="W134" s="14"/>
      <c r="X134" s="14"/>
      <c r="Y134" s="11" t="str">
        <f>IF(SUM(V134:X134)=0,"",IF(SUM(V134:X134)&gt;=2,"Multi","Single"))</f>
        <v/>
      </c>
      <c r="Z134" s="14"/>
      <c r="AA134" s="14"/>
      <c r="AB134" s="14"/>
      <c r="AC134" s="14"/>
      <c r="AD134" s="14"/>
      <c r="AE134" s="14"/>
      <c r="AF134" s="14"/>
      <c r="AG134" s="15"/>
    </row>
    <row r="135" spans="1:33">
      <c r="A135" s="8" t="s">
        <v>259</v>
      </c>
      <c r="B135" s="9"/>
      <c r="C135" s="8"/>
      <c r="D135" s="9"/>
      <c r="E135" s="9"/>
      <c r="F135" s="8"/>
      <c r="G135" s="10"/>
      <c r="H135" s="10"/>
      <c r="I135" s="10"/>
      <c r="J135" s="10"/>
      <c r="K135" s="10"/>
      <c r="L135" s="11" t="str">
        <f>IF(COUNTBLANK(G135:K135)=5,"",IF(COUNTIF(G135:K135,"No")&gt;0,"EXCLUDE","INCLUDE"))</f>
        <v/>
      </c>
      <c r="M135" s="11" t="str">
        <f>IF(L135&lt;&gt;"EXCLUDE","",IF(G135="No","Wrong domain (non-AECO)",IF(H135="No","Digital Twin not core / buzzword",IF(I135="No","No Design for Safety/Quality/PtD",IF(J135="No","Wrong publication type",IF(K135="No","Non-English",""))))))</f>
        <v/>
      </c>
      <c r="N135" s="12"/>
      <c r="O135" s="12"/>
      <c r="P135" s="13"/>
      <c r="Q135" s="13"/>
      <c r="R135" s="13"/>
      <c r="S135" s="11" t="str">
        <f>IF(N135&lt;&gt;"Yes","",IF(COUNTBLANK(P135:R135)=3,"",IF(COUNTIF(P135:R135,"No")&gt;0,"EXCLUDE","INCLUDE")))</f>
        <v/>
      </c>
      <c r="T135" s="11" t="str">
        <f>IF(S135&lt;&gt;"EXCLUDE","",IF(P135="No","Digital Twin mentioned only, not the subject",IF(Q135="No","No Design for Safety/Quality in full text",IF(R135="No","Methodology not codable",""))))</f>
        <v/>
      </c>
      <c r="U135" s="14"/>
      <c r="V135" s="14"/>
      <c r="W135" s="14"/>
      <c r="X135" s="14"/>
      <c r="Y135" s="11" t="str">
        <f>IF(SUM(V135:X135)=0,"",IF(SUM(V135:X135)&gt;=2,"Multi","Single"))</f>
        <v/>
      </c>
      <c r="Z135" s="14"/>
      <c r="AA135" s="14"/>
      <c r="AB135" s="14"/>
      <c r="AC135" s="14"/>
      <c r="AD135" s="14"/>
      <c r="AE135" s="14"/>
      <c r="AF135" s="14"/>
      <c r="AG135" s="15"/>
    </row>
    <row r="136" spans="1:33">
      <c r="A136" s="8" t="s">
        <v>260</v>
      </c>
      <c r="B136" s="9"/>
      <c r="C136" s="8"/>
      <c r="D136" s="9"/>
      <c r="E136" s="9"/>
      <c r="F136" s="8"/>
      <c r="G136" s="10"/>
      <c r="H136" s="10"/>
      <c r="I136" s="10"/>
      <c r="J136" s="10"/>
      <c r="K136" s="10"/>
      <c r="L136" s="11" t="str">
        <f>IF(COUNTBLANK(G136:K136)=5,"",IF(COUNTIF(G136:K136,"No")&gt;0,"EXCLUDE","INCLUDE"))</f>
        <v/>
      </c>
      <c r="M136" s="11" t="str">
        <f>IF(L136&lt;&gt;"EXCLUDE","",IF(G136="No","Wrong domain (non-AECO)",IF(H136="No","Digital Twin not core / buzzword",IF(I136="No","No Design for Safety/Quality/PtD",IF(J136="No","Wrong publication type",IF(K136="No","Non-English",""))))))</f>
        <v/>
      </c>
      <c r="N136" s="12"/>
      <c r="O136" s="12"/>
      <c r="P136" s="13"/>
      <c r="Q136" s="13"/>
      <c r="R136" s="13"/>
      <c r="S136" s="11" t="str">
        <f>IF(N136&lt;&gt;"Yes","",IF(COUNTBLANK(P136:R136)=3,"",IF(COUNTIF(P136:R136,"No")&gt;0,"EXCLUDE","INCLUDE")))</f>
        <v/>
      </c>
      <c r="T136" s="11" t="str">
        <f>IF(S136&lt;&gt;"EXCLUDE","",IF(P136="No","Digital Twin mentioned only, not the subject",IF(Q136="No","No Design for Safety/Quality in full text",IF(R136="No","Methodology not codable",""))))</f>
        <v/>
      </c>
      <c r="U136" s="14"/>
      <c r="V136" s="14"/>
      <c r="W136" s="14"/>
      <c r="X136" s="14"/>
      <c r="Y136" s="11" t="str">
        <f>IF(SUM(V136:X136)=0,"",IF(SUM(V136:X136)&gt;=2,"Multi","Single"))</f>
        <v/>
      </c>
      <c r="Z136" s="14"/>
      <c r="AA136" s="14"/>
      <c r="AB136" s="14"/>
      <c r="AC136" s="14"/>
      <c r="AD136" s="14"/>
      <c r="AE136" s="14"/>
      <c r="AF136" s="14"/>
      <c r="AG136" s="15"/>
    </row>
    <row r="137" spans="1:33">
      <c r="A137" s="8" t="s">
        <v>261</v>
      </c>
      <c r="B137" s="9"/>
      <c r="C137" s="8"/>
      <c r="D137" s="9"/>
      <c r="E137" s="9"/>
      <c r="F137" s="8"/>
      <c r="G137" s="10"/>
      <c r="H137" s="10"/>
      <c r="I137" s="10"/>
      <c r="J137" s="10"/>
      <c r="K137" s="10"/>
      <c r="L137" s="11" t="str">
        <f>IF(COUNTBLANK(G137:K137)=5,"",IF(COUNTIF(G137:K137,"No")&gt;0,"EXCLUDE","INCLUDE"))</f>
        <v/>
      </c>
      <c r="M137" s="11" t="str">
        <f>IF(L137&lt;&gt;"EXCLUDE","",IF(G137="No","Wrong domain (non-AECO)",IF(H137="No","Digital Twin not core / buzzword",IF(I137="No","No Design for Safety/Quality/PtD",IF(J137="No","Wrong publication type",IF(K137="No","Non-English",""))))))</f>
        <v/>
      </c>
      <c r="N137" s="12"/>
      <c r="O137" s="12"/>
      <c r="P137" s="13"/>
      <c r="Q137" s="13"/>
      <c r="R137" s="13"/>
      <c r="S137" s="11" t="str">
        <f>IF(N137&lt;&gt;"Yes","",IF(COUNTBLANK(P137:R137)=3,"",IF(COUNTIF(P137:R137,"No")&gt;0,"EXCLUDE","INCLUDE")))</f>
        <v/>
      </c>
      <c r="T137" s="11" t="str">
        <f>IF(S137&lt;&gt;"EXCLUDE","",IF(P137="No","Digital Twin mentioned only, not the subject",IF(Q137="No","No Design for Safety/Quality in full text",IF(R137="No","Methodology not codable",""))))</f>
        <v/>
      </c>
      <c r="U137" s="14"/>
      <c r="V137" s="14"/>
      <c r="W137" s="14"/>
      <c r="X137" s="14"/>
      <c r="Y137" s="11" t="str">
        <f>IF(SUM(V137:X137)=0,"",IF(SUM(V137:X137)&gt;=2,"Multi","Single"))</f>
        <v/>
      </c>
      <c r="Z137" s="14"/>
      <c r="AA137" s="14"/>
      <c r="AB137" s="14"/>
      <c r="AC137" s="14"/>
      <c r="AD137" s="14"/>
      <c r="AE137" s="14"/>
      <c r="AF137" s="14"/>
      <c r="AG137" s="15"/>
    </row>
    <row r="138" spans="1:33">
      <c r="A138" s="8" t="s">
        <v>262</v>
      </c>
      <c r="B138" s="9"/>
      <c r="C138" s="8"/>
      <c r="D138" s="9"/>
      <c r="E138" s="9"/>
      <c r="F138" s="8"/>
      <c r="G138" s="10"/>
      <c r="H138" s="10"/>
      <c r="I138" s="10"/>
      <c r="J138" s="10"/>
      <c r="K138" s="10"/>
      <c r="L138" s="11" t="str">
        <f>IF(COUNTBLANK(G138:K138)=5,"",IF(COUNTIF(G138:K138,"No")&gt;0,"EXCLUDE","INCLUDE"))</f>
        <v/>
      </c>
      <c r="M138" s="11" t="str">
        <f>IF(L138&lt;&gt;"EXCLUDE","",IF(G138="No","Wrong domain (non-AECO)",IF(H138="No","Digital Twin not core / buzzword",IF(I138="No","No Design for Safety/Quality/PtD",IF(J138="No","Wrong publication type",IF(K138="No","Non-English",""))))))</f>
        <v/>
      </c>
      <c r="N138" s="12"/>
      <c r="O138" s="12"/>
      <c r="P138" s="13"/>
      <c r="Q138" s="13"/>
      <c r="R138" s="13"/>
      <c r="S138" s="11" t="str">
        <f>IF(N138&lt;&gt;"Yes","",IF(COUNTBLANK(P138:R138)=3,"",IF(COUNTIF(P138:R138,"No")&gt;0,"EXCLUDE","INCLUDE")))</f>
        <v/>
      </c>
      <c r="T138" s="11" t="str">
        <f>IF(S138&lt;&gt;"EXCLUDE","",IF(P138="No","Digital Twin mentioned only, not the subject",IF(Q138="No","No Design for Safety/Quality in full text",IF(R138="No","Methodology not codable",""))))</f>
        <v/>
      </c>
      <c r="U138" s="14"/>
      <c r="V138" s="14"/>
      <c r="W138" s="14"/>
      <c r="X138" s="14"/>
      <c r="Y138" s="11" t="str">
        <f>IF(SUM(V138:X138)=0,"",IF(SUM(V138:X138)&gt;=2,"Multi","Single"))</f>
        <v/>
      </c>
      <c r="Z138" s="14"/>
      <c r="AA138" s="14"/>
      <c r="AB138" s="14"/>
      <c r="AC138" s="14"/>
      <c r="AD138" s="14"/>
      <c r="AE138" s="14"/>
      <c r="AF138" s="14"/>
      <c r="AG138" s="15"/>
    </row>
    <row r="139" spans="1:33">
      <c r="A139" s="8" t="s">
        <v>263</v>
      </c>
      <c r="B139" s="9"/>
      <c r="C139" s="8"/>
      <c r="D139" s="9"/>
      <c r="E139" s="9"/>
      <c r="F139" s="8"/>
      <c r="G139" s="10"/>
      <c r="H139" s="10"/>
      <c r="I139" s="10"/>
      <c r="J139" s="10"/>
      <c r="K139" s="10"/>
      <c r="L139" s="11" t="str">
        <f>IF(COUNTBLANK(G139:K139)=5,"",IF(COUNTIF(G139:K139,"No")&gt;0,"EXCLUDE","INCLUDE"))</f>
        <v/>
      </c>
      <c r="M139" s="11" t="str">
        <f>IF(L139&lt;&gt;"EXCLUDE","",IF(G139="No","Wrong domain (non-AECO)",IF(H139="No","Digital Twin not core / buzzword",IF(I139="No","No Design for Safety/Quality/PtD",IF(J139="No","Wrong publication type",IF(K139="No","Non-English",""))))))</f>
        <v/>
      </c>
      <c r="N139" s="12"/>
      <c r="O139" s="12"/>
      <c r="P139" s="13"/>
      <c r="Q139" s="13"/>
      <c r="R139" s="13"/>
      <c r="S139" s="11" t="str">
        <f>IF(N139&lt;&gt;"Yes","",IF(COUNTBLANK(P139:R139)=3,"",IF(COUNTIF(P139:R139,"No")&gt;0,"EXCLUDE","INCLUDE")))</f>
        <v/>
      </c>
      <c r="T139" s="11" t="str">
        <f>IF(S139&lt;&gt;"EXCLUDE","",IF(P139="No","Digital Twin mentioned only, not the subject",IF(Q139="No","No Design for Safety/Quality in full text",IF(R139="No","Methodology not codable",""))))</f>
        <v/>
      </c>
      <c r="U139" s="14"/>
      <c r="V139" s="14"/>
      <c r="W139" s="14"/>
      <c r="X139" s="14"/>
      <c r="Y139" s="11" t="str">
        <f>IF(SUM(V139:X139)=0,"",IF(SUM(V139:X139)&gt;=2,"Multi","Single"))</f>
        <v/>
      </c>
      <c r="Z139" s="14"/>
      <c r="AA139" s="14"/>
      <c r="AB139" s="14"/>
      <c r="AC139" s="14"/>
      <c r="AD139" s="14"/>
      <c r="AE139" s="14"/>
      <c r="AF139" s="14"/>
      <c r="AG139" s="15"/>
    </row>
    <row r="140" spans="1:33">
      <c r="A140" s="8" t="s">
        <v>264</v>
      </c>
      <c r="B140" s="9"/>
      <c r="C140" s="8"/>
      <c r="D140" s="9"/>
      <c r="E140" s="9"/>
      <c r="F140" s="8"/>
      <c r="G140" s="10"/>
      <c r="H140" s="10"/>
      <c r="I140" s="10"/>
      <c r="J140" s="10"/>
      <c r="K140" s="10"/>
      <c r="L140" s="11" t="str">
        <f>IF(COUNTBLANK(G140:K140)=5,"",IF(COUNTIF(G140:K140,"No")&gt;0,"EXCLUDE","INCLUDE"))</f>
        <v/>
      </c>
      <c r="M140" s="11" t="str">
        <f>IF(L140&lt;&gt;"EXCLUDE","",IF(G140="No","Wrong domain (non-AECO)",IF(H140="No","Digital Twin not core / buzzword",IF(I140="No","No Design for Safety/Quality/PtD",IF(J140="No","Wrong publication type",IF(K140="No","Non-English",""))))))</f>
        <v/>
      </c>
      <c r="N140" s="12"/>
      <c r="O140" s="12"/>
      <c r="P140" s="13"/>
      <c r="Q140" s="13"/>
      <c r="R140" s="13"/>
      <c r="S140" s="11" t="str">
        <f>IF(N140&lt;&gt;"Yes","",IF(COUNTBLANK(P140:R140)=3,"",IF(COUNTIF(P140:R140,"No")&gt;0,"EXCLUDE","INCLUDE")))</f>
        <v/>
      </c>
      <c r="T140" s="11" t="str">
        <f>IF(S140&lt;&gt;"EXCLUDE","",IF(P140="No","Digital Twin mentioned only, not the subject",IF(Q140="No","No Design for Safety/Quality in full text",IF(R140="No","Methodology not codable",""))))</f>
        <v/>
      </c>
      <c r="U140" s="14"/>
      <c r="V140" s="14"/>
      <c r="W140" s="14"/>
      <c r="X140" s="14"/>
      <c r="Y140" s="11" t="str">
        <f>IF(SUM(V140:X140)=0,"",IF(SUM(V140:X140)&gt;=2,"Multi","Single"))</f>
        <v/>
      </c>
      <c r="Z140" s="14"/>
      <c r="AA140" s="14"/>
      <c r="AB140" s="14"/>
      <c r="AC140" s="14"/>
      <c r="AD140" s="14"/>
      <c r="AE140" s="14"/>
      <c r="AF140" s="14"/>
      <c r="AG140" s="15"/>
    </row>
    <row r="141" spans="1:33">
      <c r="A141" s="8" t="s">
        <v>265</v>
      </c>
      <c r="B141" s="9"/>
      <c r="C141" s="8"/>
      <c r="D141" s="9"/>
      <c r="E141" s="9"/>
      <c r="F141" s="8"/>
      <c r="G141" s="10"/>
      <c r="H141" s="10"/>
      <c r="I141" s="10"/>
      <c r="J141" s="10"/>
      <c r="K141" s="10"/>
      <c r="L141" s="11" t="str">
        <f>IF(COUNTBLANK(G141:K141)=5,"",IF(COUNTIF(G141:K141,"No")&gt;0,"EXCLUDE","INCLUDE"))</f>
        <v/>
      </c>
      <c r="M141" s="11" t="str">
        <f>IF(L141&lt;&gt;"EXCLUDE","",IF(G141="No","Wrong domain (non-AECO)",IF(H141="No","Digital Twin not core / buzzword",IF(I141="No","No Design for Safety/Quality/PtD",IF(J141="No","Wrong publication type",IF(K141="No","Non-English",""))))))</f>
        <v/>
      </c>
      <c r="N141" s="12"/>
      <c r="O141" s="12"/>
      <c r="P141" s="13"/>
      <c r="Q141" s="13"/>
      <c r="R141" s="13"/>
      <c r="S141" s="11" t="str">
        <f>IF(N141&lt;&gt;"Yes","",IF(COUNTBLANK(P141:R141)=3,"",IF(COUNTIF(P141:R141,"No")&gt;0,"EXCLUDE","INCLUDE")))</f>
        <v/>
      </c>
      <c r="T141" s="11" t="str">
        <f>IF(S141&lt;&gt;"EXCLUDE","",IF(P141="No","Digital Twin mentioned only, not the subject",IF(Q141="No","No Design for Safety/Quality in full text",IF(R141="No","Methodology not codable",""))))</f>
        <v/>
      </c>
      <c r="U141" s="14"/>
      <c r="V141" s="14"/>
      <c r="W141" s="14"/>
      <c r="X141" s="14"/>
      <c r="Y141" s="11" t="str">
        <f>IF(SUM(V141:X141)=0,"",IF(SUM(V141:X141)&gt;=2,"Multi","Single"))</f>
        <v/>
      </c>
      <c r="Z141" s="14"/>
      <c r="AA141" s="14"/>
      <c r="AB141" s="14"/>
      <c r="AC141" s="14"/>
      <c r="AD141" s="14"/>
      <c r="AE141" s="14"/>
      <c r="AF141" s="14"/>
      <c r="AG141" s="15"/>
    </row>
    <row r="142" spans="1:33">
      <c r="A142" s="8" t="s">
        <v>266</v>
      </c>
      <c r="B142" s="9"/>
      <c r="C142" s="8"/>
      <c r="D142" s="9"/>
      <c r="E142" s="9"/>
      <c r="F142" s="8"/>
      <c r="G142" s="10"/>
      <c r="H142" s="10"/>
      <c r="I142" s="10"/>
      <c r="J142" s="10"/>
      <c r="K142" s="10"/>
      <c r="L142" s="11" t="str">
        <f>IF(COUNTBLANK(G142:K142)=5,"",IF(COUNTIF(G142:K142,"No")&gt;0,"EXCLUDE","INCLUDE"))</f>
        <v/>
      </c>
      <c r="M142" s="11" t="str">
        <f>IF(L142&lt;&gt;"EXCLUDE","",IF(G142="No","Wrong domain (non-AECO)",IF(H142="No","Digital Twin not core / buzzword",IF(I142="No","No Design for Safety/Quality/PtD",IF(J142="No","Wrong publication type",IF(K142="No","Non-English",""))))))</f>
        <v/>
      </c>
      <c r="N142" s="12"/>
      <c r="O142" s="12"/>
      <c r="P142" s="13"/>
      <c r="Q142" s="13"/>
      <c r="R142" s="13"/>
      <c r="S142" s="11" t="str">
        <f>IF(N142&lt;&gt;"Yes","",IF(COUNTBLANK(P142:R142)=3,"",IF(COUNTIF(P142:R142,"No")&gt;0,"EXCLUDE","INCLUDE")))</f>
        <v/>
      </c>
      <c r="T142" s="11" t="str">
        <f>IF(S142&lt;&gt;"EXCLUDE","",IF(P142="No","Digital Twin mentioned only, not the subject",IF(Q142="No","No Design for Safety/Quality in full text",IF(R142="No","Methodology not codable",""))))</f>
        <v/>
      </c>
      <c r="U142" s="14"/>
      <c r="V142" s="14"/>
      <c r="W142" s="14"/>
      <c r="X142" s="14"/>
      <c r="Y142" s="11" t="str">
        <f>IF(SUM(V142:X142)=0,"",IF(SUM(V142:X142)&gt;=2,"Multi","Single"))</f>
        <v/>
      </c>
      <c r="Z142" s="14"/>
      <c r="AA142" s="14"/>
      <c r="AB142" s="14"/>
      <c r="AC142" s="14"/>
      <c r="AD142" s="14"/>
      <c r="AE142" s="14"/>
      <c r="AF142" s="14"/>
      <c r="AG142" s="15"/>
    </row>
    <row r="143" spans="1:33">
      <c r="A143" s="8" t="s">
        <v>267</v>
      </c>
      <c r="B143" s="9"/>
      <c r="C143" s="8"/>
      <c r="D143" s="9"/>
      <c r="E143" s="9"/>
      <c r="F143" s="8"/>
      <c r="G143" s="10"/>
      <c r="H143" s="10"/>
      <c r="I143" s="10"/>
      <c r="J143" s="10"/>
      <c r="K143" s="10"/>
      <c r="L143" s="11" t="str">
        <f>IF(COUNTBLANK(G143:K143)=5,"",IF(COUNTIF(G143:K143,"No")&gt;0,"EXCLUDE","INCLUDE"))</f>
        <v/>
      </c>
      <c r="M143" s="11" t="str">
        <f>IF(L143&lt;&gt;"EXCLUDE","",IF(G143="No","Wrong domain (non-AECO)",IF(H143="No","Digital Twin not core / buzzword",IF(I143="No","No Design for Safety/Quality/PtD",IF(J143="No","Wrong publication type",IF(K143="No","Non-English",""))))))</f>
        <v/>
      </c>
      <c r="N143" s="12"/>
      <c r="O143" s="12"/>
      <c r="P143" s="13"/>
      <c r="Q143" s="13"/>
      <c r="R143" s="13"/>
      <c r="S143" s="11" t="str">
        <f>IF(N143&lt;&gt;"Yes","",IF(COUNTBLANK(P143:R143)=3,"",IF(COUNTIF(P143:R143,"No")&gt;0,"EXCLUDE","INCLUDE")))</f>
        <v/>
      </c>
      <c r="T143" s="11" t="str">
        <f>IF(S143&lt;&gt;"EXCLUDE","",IF(P143="No","Digital Twin mentioned only, not the subject",IF(Q143="No","No Design for Safety/Quality in full text",IF(R143="No","Methodology not codable",""))))</f>
        <v/>
      </c>
      <c r="U143" s="14"/>
      <c r="V143" s="14"/>
      <c r="W143" s="14"/>
      <c r="X143" s="14"/>
      <c r="Y143" s="11" t="str">
        <f>IF(SUM(V143:X143)=0,"",IF(SUM(V143:X143)&gt;=2,"Multi","Single"))</f>
        <v/>
      </c>
      <c r="Z143" s="14"/>
      <c r="AA143" s="14"/>
      <c r="AB143" s="14"/>
      <c r="AC143" s="14"/>
      <c r="AD143" s="14"/>
      <c r="AE143" s="14"/>
      <c r="AF143" s="14"/>
      <c r="AG143" s="15"/>
    </row>
    <row r="144" spans="1:33">
      <c r="A144" s="8" t="s">
        <v>268</v>
      </c>
      <c r="B144" s="9"/>
      <c r="C144" s="8"/>
      <c r="D144" s="9"/>
      <c r="E144" s="9"/>
      <c r="F144" s="8"/>
      <c r="G144" s="10"/>
      <c r="H144" s="10"/>
      <c r="I144" s="10"/>
      <c r="J144" s="10"/>
      <c r="K144" s="10"/>
      <c r="L144" s="11" t="str">
        <f>IF(COUNTBLANK(G144:K144)=5,"",IF(COUNTIF(G144:K144,"No")&gt;0,"EXCLUDE","INCLUDE"))</f>
        <v/>
      </c>
      <c r="M144" s="11" t="str">
        <f>IF(L144&lt;&gt;"EXCLUDE","",IF(G144="No","Wrong domain (non-AECO)",IF(H144="No","Digital Twin not core / buzzword",IF(I144="No","No Design for Safety/Quality/PtD",IF(J144="No","Wrong publication type",IF(K144="No","Non-English",""))))))</f>
        <v/>
      </c>
      <c r="N144" s="12"/>
      <c r="O144" s="12"/>
      <c r="P144" s="13"/>
      <c r="Q144" s="13"/>
      <c r="R144" s="13"/>
      <c r="S144" s="11" t="str">
        <f>IF(N144&lt;&gt;"Yes","",IF(COUNTBLANK(P144:R144)=3,"",IF(COUNTIF(P144:R144,"No")&gt;0,"EXCLUDE","INCLUDE")))</f>
        <v/>
      </c>
      <c r="T144" s="11" t="str">
        <f>IF(S144&lt;&gt;"EXCLUDE","",IF(P144="No","Digital Twin mentioned only, not the subject",IF(Q144="No","No Design for Safety/Quality in full text",IF(R144="No","Methodology not codable",""))))</f>
        <v/>
      </c>
      <c r="U144" s="14"/>
      <c r="V144" s="14"/>
      <c r="W144" s="14"/>
      <c r="X144" s="14"/>
      <c r="Y144" s="11" t="str">
        <f>IF(SUM(V144:X144)=0,"",IF(SUM(V144:X144)&gt;=2,"Multi","Single"))</f>
        <v/>
      </c>
      <c r="Z144" s="14"/>
      <c r="AA144" s="14"/>
      <c r="AB144" s="14"/>
      <c r="AC144" s="14"/>
      <c r="AD144" s="14"/>
      <c r="AE144" s="14"/>
      <c r="AF144" s="14"/>
      <c r="AG144" s="15"/>
    </row>
    <row r="145" spans="1:33">
      <c r="A145" s="8" t="s">
        <v>269</v>
      </c>
      <c r="B145" s="9"/>
      <c r="C145" s="8"/>
      <c r="D145" s="9"/>
      <c r="E145" s="9"/>
      <c r="F145" s="8"/>
      <c r="G145" s="10"/>
      <c r="H145" s="10"/>
      <c r="I145" s="10"/>
      <c r="J145" s="10"/>
      <c r="K145" s="10"/>
      <c r="L145" s="11" t="str">
        <f>IF(COUNTBLANK(G145:K145)=5,"",IF(COUNTIF(G145:K145,"No")&gt;0,"EXCLUDE","INCLUDE"))</f>
        <v/>
      </c>
      <c r="M145" s="11" t="str">
        <f>IF(L145&lt;&gt;"EXCLUDE","",IF(G145="No","Wrong domain (non-AECO)",IF(H145="No","Digital Twin not core / buzzword",IF(I145="No","No Design for Safety/Quality/PtD",IF(J145="No","Wrong publication type",IF(K145="No","Non-English",""))))))</f>
        <v/>
      </c>
      <c r="N145" s="12"/>
      <c r="O145" s="12"/>
      <c r="P145" s="13"/>
      <c r="Q145" s="13"/>
      <c r="R145" s="13"/>
      <c r="S145" s="11" t="str">
        <f>IF(N145&lt;&gt;"Yes","",IF(COUNTBLANK(P145:R145)=3,"",IF(COUNTIF(P145:R145,"No")&gt;0,"EXCLUDE","INCLUDE")))</f>
        <v/>
      </c>
      <c r="T145" s="11" t="str">
        <f>IF(S145&lt;&gt;"EXCLUDE","",IF(P145="No","Digital Twin mentioned only, not the subject",IF(Q145="No","No Design for Safety/Quality in full text",IF(R145="No","Methodology not codable",""))))</f>
        <v/>
      </c>
      <c r="U145" s="14"/>
      <c r="V145" s="14"/>
      <c r="W145" s="14"/>
      <c r="X145" s="14"/>
      <c r="Y145" s="11" t="str">
        <f>IF(SUM(V145:X145)=0,"",IF(SUM(V145:X145)&gt;=2,"Multi","Single"))</f>
        <v/>
      </c>
      <c r="Z145" s="14"/>
      <c r="AA145" s="14"/>
      <c r="AB145" s="14"/>
      <c r="AC145" s="14"/>
      <c r="AD145" s="14"/>
      <c r="AE145" s="14"/>
      <c r="AF145" s="14"/>
      <c r="AG145" s="15"/>
    </row>
    <row r="146" spans="1:33">
      <c r="A146" s="8" t="s">
        <v>270</v>
      </c>
      <c r="B146" s="9"/>
      <c r="C146" s="8"/>
      <c r="D146" s="9"/>
      <c r="E146" s="9"/>
      <c r="F146" s="8"/>
      <c r="G146" s="10"/>
      <c r="H146" s="10"/>
      <c r="I146" s="10"/>
      <c r="J146" s="10"/>
      <c r="K146" s="10"/>
      <c r="L146" s="11" t="str">
        <f>IF(COUNTBLANK(G146:K146)=5,"",IF(COUNTIF(G146:K146,"No")&gt;0,"EXCLUDE","INCLUDE"))</f>
        <v/>
      </c>
      <c r="M146" s="11" t="str">
        <f>IF(L146&lt;&gt;"EXCLUDE","",IF(G146="No","Wrong domain (non-AECO)",IF(H146="No","Digital Twin not core / buzzword",IF(I146="No","No Design for Safety/Quality/PtD",IF(J146="No","Wrong publication type",IF(K146="No","Non-English",""))))))</f>
        <v/>
      </c>
      <c r="N146" s="12"/>
      <c r="O146" s="12"/>
      <c r="P146" s="13"/>
      <c r="Q146" s="13"/>
      <c r="R146" s="13"/>
      <c r="S146" s="11" t="str">
        <f>IF(N146&lt;&gt;"Yes","",IF(COUNTBLANK(P146:R146)=3,"",IF(COUNTIF(P146:R146,"No")&gt;0,"EXCLUDE","INCLUDE")))</f>
        <v/>
      </c>
      <c r="T146" s="11" t="str">
        <f>IF(S146&lt;&gt;"EXCLUDE","",IF(P146="No","Digital Twin mentioned only, not the subject",IF(Q146="No","No Design for Safety/Quality in full text",IF(R146="No","Methodology not codable",""))))</f>
        <v/>
      </c>
      <c r="U146" s="14"/>
      <c r="V146" s="14"/>
      <c r="W146" s="14"/>
      <c r="X146" s="14"/>
      <c r="Y146" s="11" t="str">
        <f>IF(SUM(V146:X146)=0,"",IF(SUM(V146:X146)&gt;=2,"Multi","Single"))</f>
        <v/>
      </c>
      <c r="Z146" s="14"/>
      <c r="AA146" s="14"/>
      <c r="AB146" s="14"/>
      <c r="AC146" s="14"/>
      <c r="AD146" s="14"/>
      <c r="AE146" s="14"/>
      <c r="AF146" s="14"/>
      <c r="AG146" s="15"/>
    </row>
    <row r="147" spans="1:33">
      <c r="A147" s="8" t="s">
        <v>271</v>
      </c>
      <c r="B147" s="9"/>
      <c r="C147" s="8"/>
      <c r="D147" s="9"/>
      <c r="E147" s="9"/>
      <c r="F147" s="8"/>
      <c r="G147" s="10"/>
      <c r="H147" s="10"/>
      <c r="I147" s="10"/>
      <c r="J147" s="10"/>
      <c r="K147" s="10"/>
      <c r="L147" s="11" t="str">
        <f>IF(COUNTBLANK(G147:K147)=5,"",IF(COUNTIF(G147:K147,"No")&gt;0,"EXCLUDE","INCLUDE"))</f>
        <v/>
      </c>
      <c r="M147" s="11" t="str">
        <f>IF(L147&lt;&gt;"EXCLUDE","",IF(G147="No","Wrong domain (non-AECO)",IF(H147="No","Digital Twin not core / buzzword",IF(I147="No","No Design for Safety/Quality/PtD",IF(J147="No","Wrong publication type",IF(K147="No","Non-English",""))))))</f>
        <v/>
      </c>
      <c r="N147" s="12"/>
      <c r="O147" s="12"/>
      <c r="P147" s="13"/>
      <c r="Q147" s="13"/>
      <c r="R147" s="13"/>
      <c r="S147" s="11" t="str">
        <f>IF(N147&lt;&gt;"Yes","",IF(COUNTBLANK(P147:R147)=3,"",IF(COUNTIF(P147:R147,"No")&gt;0,"EXCLUDE","INCLUDE")))</f>
        <v/>
      </c>
      <c r="T147" s="11" t="str">
        <f>IF(S147&lt;&gt;"EXCLUDE","",IF(P147="No","Digital Twin mentioned only, not the subject",IF(Q147="No","No Design for Safety/Quality in full text",IF(R147="No","Methodology not codable",""))))</f>
        <v/>
      </c>
      <c r="U147" s="14"/>
      <c r="V147" s="14"/>
      <c r="W147" s="14"/>
      <c r="X147" s="14"/>
      <c r="Y147" s="11" t="str">
        <f>IF(SUM(V147:X147)=0,"",IF(SUM(V147:X147)&gt;=2,"Multi","Single"))</f>
        <v/>
      </c>
      <c r="Z147" s="14"/>
      <c r="AA147" s="14"/>
      <c r="AB147" s="14"/>
      <c r="AC147" s="14"/>
      <c r="AD147" s="14"/>
      <c r="AE147" s="14"/>
      <c r="AF147" s="14"/>
      <c r="AG147" s="15"/>
    </row>
    <row r="148" spans="1:33">
      <c r="A148" s="8" t="s">
        <v>272</v>
      </c>
      <c r="B148" s="9"/>
      <c r="C148" s="8"/>
      <c r="D148" s="9"/>
      <c r="E148" s="9"/>
      <c r="F148" s="8"/>
      <c r="G148" s="10"/>
      <c r="H148" s="10"/>
      <c r="I148" s="10"/>
      <c r="J148" s="10"/>
      <c r="K148" s="10"/>
      <c r="L148" s="11" t="str">
        <f>IF(COUNTBLANK(G148:K148)=5,"",IF(COUNTIF(G148:K148,"No")&gt;0,"EXCLUDE","INCLUDE"))</f>
        <v/>
      </c>
      <c r="M148" s="11" t="str">
        <f>IF(L148&lt;&gt;"EXCLUDE","",IF(G148="No","Wrong domain (non-AECO)",IF(H148="No","Digital Twin not core / buzzword",IF(I148="No","No Design for Safety/Quality/PtD",IF(J148="No","Wrong publication type",IF(K148="No","Non-English",""))))))</f>
        <v/>
      </c>
      <c r="N148" s="12"/>
      <c r="O148" s="12"/>
      <c r="P148" s="13"/>
      <c r="Q148" s="13"/>
      <c r="R148" s="13"/>
      <c r="S148" s="11" t="str">
        <f>IF(N148&lt;&gt;"Yes","",IF(COUNTBLANK(P148:R148)=3,"",IF(COUNTIF(P148:R148,"No")&gt;0,"EXCLUDE","INCLUDE")))</f>
        <v/>
      </c>
      <c r="T148" s="11" t="str">
        <f>IF(S148&lt;&gt;"EXCLUDE","",IF(P148="No","Digital Twin mentioned only, not the subject",IF(Q148="No","No Design for Safety/Quality in full text",IF(R148="No","Methodology not codable",""))))</f>
        <v/>
      </c>
      <c r="U148" s="14"/>
      <c r="V148" s="14"/>
      <c r="W148" s="14"/>
      <c r="X148" s="14"/>
      <c r="Y148" s="11" t="str">
        <f>IF(SUM(V148:X148)=0,"",IF(SUM(V148:X148)&gt;=2,"Multi","Single"))</f>
        <v/>
      </c>
      <c r="Z148" s="14"/>
      <c r="AA148" s="14"/>
      <c r="AB148" s="14"/>
      <c r="AC148" s="14"/>
      <c r="AD148" s="14"/>
      <c r="AE148" s="14"/>
      <c r="AF148" s="14"/>
      <c r="AG148" s="15"/>
    </row>
    <row r="149" spans="1:33">
      <c r="A149" s="8" t="s">
        <v>273</v>
      </c>
      <c r="B149" s="9"/>
      <c r="C149" s="8"/>
      <c r="D149" s="9"/>
      <c r="E149" s="9"/>
      <c r="F149" s="8"/>
      <c r="G149" s="10"/>
      <c r="H149" s="10"/>
      <c r="I149" s="10"/>
      <c r="J149" s="10"/>
      <c r="K149" s="10"/>
      <c r="L149" s="11" t="str">
        <f>IF(COUNTBLANK(G149:K149)=5,"",IF(COUNTIF(G149:K149,"No")&gt;0,"EXCLUDE","INCLUDE"))</f>
        <v/>
      </c>
      <c r="M149" s="11" t="str">
        <f>IF(L149&lt;&gt;"EXCLUDE","",IF(G149="No","Wrong domain (non-AECO)",IF(H149="No","Digital Twin not core / buzzword",IF(I149="No","No Design for Safety/Quality/PtD",IF(J149="No","Wrong publication type",IF(K149="No","Non-English",""))))))</f>
        <v/>
      </c>
      <c r="N149" s="12"/>
      <c r="O149" s="12"/>
      <c r="P149" s="13"/>
      <c r="Q149" s="13"/>
      <c r="R149" s="13"/>
      <c r="S149" s="11" t="str">
        <f>IF(N149&lt;&gt;"Yes","",IF(COUNTBLANK(P149:R149)=3,"",IF(COUNTIF(P149:R149,"No")&gt;0,"EXCLUDE","INCLUDE")))</f>
        <v/>
      </c>
      <c r="T149" s="11" t="str">
        <f>IF(S149&lt;&gt;"EXCLUDE","",IF(P149="No","Digital Twin mentioned only, not the subject",IF(Q149="No","No Design for Safety/Quality in full text",IF(R149="No","Methodology not codable",""))))</f>
        <v/>
      </c>
      <c r="U149" s="14"/>
      <c r="V149" s="14"/>
      <c r="W149" s="14"/>
      <c r="X149" s="14"/>
      <c r="Y149" s="11" t="str">
        <f>IF(SUM(V149:X149)=0,"",IF(SUM(V149:X149)&gt;=2,"Multi","Single"))</f>
        <v/>
      </c>
      <c r="Z149" s="14"/>
      <c r="AA149" s="14"/>
      <c r="AB149" s="14"/>
      <c r="AC149" s="14"/>
      <c r="AD149" s="14"/>
      <c r="AE149" s="14"/>
      <c r="AF149" s="14"/>
      <c r="AG149" s="15"/>
    </row>
    <row r="150" spans="1:33">
      <c r="A150" s="8" t="s">
        <v>274</v>
      </c>
      <c r="B150" s="9"/>
      <c r="C150" s="8"/>
      <c r="D150" s="9"/>
      <c r="E150" s="9"/>
      <c r="F150" s="8"/>
      <c r="G150" s="10"/>
      <c r="H150" s="10"/>
      <c r="I150" s="10"/>
      <c r="J150" s="10"/>
      <c r="K150" s="10"/>
      <c r="L150" s="11" t="str">
        <f>IF(COUNTBLANK(G150:K150)=5,"",IF(COUNTIF(G150:K150,"No")&gt;0,"EXCLUDE","INCLUDE"))</f>
        <v/>
      </c>
      <c r="M150" s="11" t="str">
        <f>IF(L150&lt;&gt;"EXCLUDE","",IF(G150="No","Wrong domain (non-AECO)",IF(H150="No","Digital Twin not core / buzzword",IF(I150="No","No Design for Safety/Quality/PtD",IF(J150="No","Wrong publication type",IF(K150="No","Non-English",""))))))</f>
        <v/>
      </c>
      <c r="N150" s="12"/>
      <c r="O150" s="12"/>
      <c r="P150" s="13"/>
      <c r="Q150" s="13"/>
      <c r="R150" s="13"/>
      <c r="S150" s="11" t="str">
        <f>IF(N150&lt;&gt;"Yes","",IF(COUNTBLANK(P150:R150)=3,"",IF(COUNTIF(P150:R150,"No")&gt;0,"EXCLUDE","INCLUDE")))</f>
        <v/>
      </c>
      <c r="T150" s="11" t="str">
        <f>IF(S150&lt;&gt;"EXCLUDE","",IF(P150="No","Digital Twin mentioned only, not the subject",IF(Q150="No","No Design for Safety/Quality in full text",IF(R150="No","Methodology not codable",""))))</f>
        <v/>
      </c>
      <c r="U150" s="14"/>
      <c r="V150" s="14"/>
      <c r="W150" s="14"/>
      <c r="X150" s="14"/>
      <c r="Y150" s="11" t="str">
        <f>IF(SUM(V150:X150)=0,"",IF(SUM(V150:X150)&gt;=2,"Multi","Single"))</f>
        <v/>
      </c>
      <c r="Z150" s="14"/>
      <c r="AA150" s="14"/>
      <c r="AB150" s="14"/>
      <c r="AC150" s="14"/>
      <c r="AD150" s="14"/>
      <c r="AE150" s="14"/>
      <c r="AF150" s="14"/>
      <c r="AG150" s="15"/>
    </row>
    <row r="151" spans="1:33">
      <c r="A151" s="8" t="s">
        <v>275</v>
      </c>
      <c r="B151" s="9"/>
      <c r="C151" s="8"/>
      <c r="D151" s="9"/>
      <c r="E151" s="9"/>
      <c r="F151" s="8"/>
      <c r="G151" s="10"/>
      <c r="H151" s="10"/>
      <c r="I151" s="10"/>
      <c r="J151" s="10"/>
      <c r="K151" s="10"/>
      <c r="L151" s="11" t="str">
        <f>IF(COUNTBLANK(G151:K151)=5,"",IF(COUNTIF(G151:K151,"No")&gt;0,"EXCLUDE","INCLUDE"))</f>
        <v/>
      </c>
      <c r="M151" s="11" t="str">
        <f>IF(L151&lt;&gt;"EXCLUDE","",IF(G151="No","Wrong domain (non-AECO)",IF(H151="No","Digital Twin not core / buzzword",IF(I151="No","No Design for Safety/Quality/PtD",IF(J151="No","Wrong publication type",IF(K151="No","Non-English",""))))))</f>
        <v/>
      </c>
      <c r="N151" s="12"/>
      <c r="O151" s="12"/>
      <c r="P151" s="13"/>
      <c r="Q151" s="13"/>
      <c r="R151" s="13"/>
      <c r="S151" s="11" t="str">
        <f>IF(N151&lt;&gt;"Yes","",IF(COUNTBLANK(P151:R151)=3,"",IF(COUNTIF(P151:R151,"No")&gt;0,"EXCLUDE","INCLUDE")))</f>
        <v/>
      </c>
      <c r="T151" s="11" t="str">
        <f>IF(S151&lt;&gt;"EXCLUDE","",IF(P151="No","Digital Twin mentioned only, not the subject",IF(Q151="No","No Design for Safety/Quality in full text",IF(R151="No","Methodology not codable",""))))</f>
        <v/>
      </c>
      <c r="U151" s="14"/>
      <c r="V151" s="14"/>
      <c r="W151" s="14"/>
      <c r="X151" s="14"/>
      <c r="Y151" s="11" t="str">
        <f>IF(SUM(V151:X151)=0,"",IF(SUM(V151:X151)&gt;=2,"Multi","Single"))</f>
        <v/>
      </c>
      <c r="Z151" s="14"/>
      <c r="AA151" s="14"/>
      <c r="AB151" s="14"/>
      <c r="AC151" s="14"/>
      <c r="AD151" s="14"/>
      <c r="AE151" s="14"/>
      <c r="AF151" s="14"/>
      <c r="AG151" s="15"/>
    </row>
    <row r="152" spans="1:33">
      <c r="A152" s="8" t="s">
        <v>276</v>
      </c>
      <c r="B152" s="9"/>
      <c r="C152" s="8"/>
      <c r="D152" s="9"/>
      <c r="E152" s="9"/>
      <c r="F152" s="8"/>
      <c r="G152" s="10"/>
      <c r="H152" s="10"/>
      <c r="I152" s="10"/>
      <c r="J152" s="10"/>
      <c r="K152" s="10"/>
      <c r="L152" s="11" t="str">
        <f>IF(COUNTBLANK(G152:K152)=5,"",IF(COUNTIF(G152:K152,"No")&gt;0,"EXCLUDE","INCLUDE"))</f>
        <v/>
      </c>
      <c r="M152" s="11" t="str">
        <f>IF(L152&lt;&gt;"EXCLUDE","",IF(G152="No","Wrong domain (non-AECO)",IF(H152="No","Digital Twin not core / buzzword",IF(I152="No","No Design for Safety/Quality/PtD",IF(J152="No","Wrong publication type",IF(K152="No","Non-English",""))))))</f>
        <v/>
      </c>
      <c r="N152" s="12"/>
      <c r="O152" s="12"/>
      <c r="P152" s="13"/>
      <c r="Q152" s="13"/>
      <c r="R152" s="13"/>
      <c r="S152" s="11" t="str">
        <f>IF(N152&lt;&gt;"Yes","",IF(COUNTBLANK(P152:R152)=3,"",IF(COUNTIF(P152:R152,"No")&gt;0,"EXCLUDE","INCLUDE")))</f>
        <v/>
      </c>
      <c r="T152" s="11" t="str">
        <f>IF(S152&lt;&gt;"EXCLUDE","",IF(P152="No","Digital Twin mentioned only, not the subject",IF(Q152="No","No Design for Safety/Quality in full text",IF(R152="No","Methodology not codable",""))))</f>
        <v/>
      </c>
      <c r="U152" s="14"/>
      <c r="V152" s="14"/>
      <c r="W152" s="14"/>
      <c r="X152" s="14"/>
      <c r="Y152" s="11" t="str">
        <f>IF(SUM(V152:X152)=0,"",IF(SUM(V152:X152)&gt;=2,"Multi","Single"))</f>
        <v/>
      </c>
      <c r="Z152" s="14"/>
      <c r="AA152" s="14"/>
      <c r="AB152" s="14"/>
      <c r="AC152" s="14"/>
      <c r="AD152" s="14"/>
      <c r="AE152" s="14"/>
      <c r="AF152" s="14"/>
      <c r="AG152" s="15"/>
    </row>
    <row r="153" spans="1:33">
      <c r="A153" s="8" t="s">
        <v>277</v>
      </c>
      <c r="B153" s="9"/>
      <c r="C153" s="8"/>
      <c r="D153" s="9"/>
      <c r="E153" s="9"/>
      <c r="F153" s="8"/>
      <c r="G153" s="10"/>
      <c r="H153" s="10"/>
      <c r="I153" s="10"/>
      <c r="J153" s="10"/>
      <c r="K153" s="10"/>
      <c r="L153" s="11" t="str">
        <f>IF(COUNTBLANK(G153:K153)=5,"",IF(COUNTIF(G153:K153,"No")&gt;0,"EXCLUDE","INCLUDE"))</f>
        <v/>
      </c>
      <c r="M153" s="11" t="str">
        <f>IF(L153&lt;&gt;"EXCLUDE","",IF(G153="No","Wrong domain (non-AECO)",IF(H153="No","Digital Twin not core / buzzword",IF(I153="No","No Design for Safety/Quality/PtD",IF(J153="No","Wrong publication type",IF(K153="No","Non-English",""))))))</f>
        <v/>
      </c>
      <c r="N153" s="12"/>
      <c r="O153" s="12"/>
      <c r="P153" s="13"/>
      <c r="Q153" s="13"/>
      <c r="R153" s="13"/>
      <c r="S153" s="11" t="str">
        <f>IF(N153&lt;&gt;"Yes","",IF(COUNTBLANK(P153:R153)=3,"",IF(COUNTIF(P153:R153,"No")&gt;0,"EXCLUDE","INCLUDE")))</f>
        <v/>
      </c>
      <c r="T153" s="11" t="str">
        <f>IF(S153&lt;&gt;"EXCLUDE","",IF(P153="No","Digital Twin mentioned only, not the subject",IF(Q153="No","No Design for Safety/Quality in full text",IF(R153="No","Methodology not codable",""))))</f>
        <v/>
      </c>
      <c r="U153" s="14"/>
      <c r="V153" s="14"/>
      <c r="W153" s="14"/>
      <c r="X153" s="14"/>
      <c r="Y153" s="11" t="str">
        <f>IF(SUM(V153:X153)=0,"",IF(SUM(V153:X153)&gt;=2,"Multi","Single"))</f>
        <v/>
      </c>
      <c r="Z153" s="14"/>
      <c r="AA153" s="14"/>
      <c r="AB153" s="14"/>
      <c r="AC153" s="14"/>
      <c r="AD153" s="14"/>
      <c r="AE153" s="14"/>
      <c r="AF153" s="14"/>
      <c r="AG153" s="15"/>
    </row>
    <row r="154" spans="1:33">
      <c r="A154" s="8" t="s">
        <v>278</v>
      </c>
      <c r="B154" s="9"/>
      <c r="C154" s="8"/>
      <c r="D154" s="9"/>
      <c r="E154" s="9"/>
      <c r="F154" s="8"/>
      <c r="G154" s="10"/>
      <c r="H154" s="10"/>
      <c r="I154" s="10"/>
      <c r="J154" s="10"/>
      <c r="K154" s="10"/>
      <c r="L154" s="11" t="str">
        <f>IF(COUNTBLANK(G154:K154)=5,"",IF(COUNTIF(G154:K154,"No")&gt;0,"EXCLUDE","INCLUDE"))</f>
        <v/>
      </c>
      <c r="M154" s="11" t="str">
        <f>IF(L154&lt;&gt;"EXCLUDE","",IF(G154="No","Wrong domain (non-AECO)",IF(H154="No","Digital Twin not core / buzzword",IF(I154="No","No Design for Safety/Quality/PtD",IF(J154="No","Wrong publication type",IF(K154="No","Non-English",""))))))</f>
        <v/>
      </c>
      <c r="N154" s="12"/>
      <c r="O154" s="12"/>
      <c r="P154" s="13"/>
      <c r="Q154" s="13"/>
      <c r="R154" s="13"/>
      <c r="S154" s="11" t="str">
        <f>IF(N154&lt;&gt;"Yes","",IF(COUNTBLANK(P154:R154)=3,"",IF(COUNTIF(P154:R154,"No")&gt;0,"EXCLUDE","INCLUDE")))</f>
        <v/>
      </c>
      <c r="T154" s="11" t="str">
        <f>IF(S154&lt;&gt;"EXCLUDE","",IF(P154="No","Digital Twin mentioned only, not the subject",IF(Q154="No","No Design for Safety/Quality in full text",IF(R154="No","Methodology not codable",""))))</f>
        <v/>
      </c>
      <c r="U154" s="14"/>
      <c r="V154" s="14"/>
      <c r="W154" s="14"/>
      <c r="X154" s="14"/>
      <c r="Y154" s="11" t="str">
        <f>IF(SUM(V154:X154)=0,"",IF(SUM(V154:X154)&gt;=2,"Multi","Single"))</f>
        <v/>
      </c>
      <c r="Z154" s="14"/>
      <c r="AA154" s="14"/>
      <c r="AB154" s="14"/>
      <c r="AC154" s="14"/>
      <c r="AD154" s="14"/>
      <c r="AE154" s="14"/>
      <c r="AF154" s="14"/>
      <c r="AG154" s="15"/>
    </row>
    <row r="155" spans="1:33">
      <c r="A155" s="8" t="s">
        <v>279</v>
      </c>
      <c r="B155" s="9"/>
      <c r="C155" s="8"/>
      <c r="D155" s="9"/>
      <c r="E155" s="9"/>
      <c r="F155" s="8"/>
      <c r="G155" s="10"/>
      <c r="H155" s="10"/>
      <c r="I155" s="10"/>
      <c r="J155" s="10"/>
      <c r="K155" s="10"/>
      <c r="L155" s="11" t="str">
        <f>IF(COUNTBLANK(G155:K155)=5,"",IF(COUNTIF(G155:K155,"No")&gt;0,"EXCLUDE","INCLUDE"))</f>
        <v/>
      </c>
      <c r="M155" s="11" t="str">
        <f>IF(L155&lt;&gt;"EXCLUDE","",IF(G155="No","Wrong domain (non-AECO)",IF(H155="No","Digital Twin not core / buzzword",IF(I155="No","No Design for Safety/Quality/PtD",IF(J155="No","Wrong publication type",IF(K155="No","Non-English",""))))))</f>
        <v/>
      </c>
      <c r="N155" s="12"/>
      <c r="O155" s="12"/>
      <c r="P155" s="13"/>
      <c r="Q155" s="13"/>
      <c r="R155" s="13"/>
      <c r="S155" s="11" t="str">
        <f>IF(N155&lt;&gt;"Yes","",IF(COUNTBLANK(P155:R155)=3,"",IF(COUNTIF(P155:R155,"No")&gt;0,"EXCLUDE","INCLUDE")))</f>
        <v/>
      </c>
      <c r="T155" s="11" t="str">
        <f>IF(S155&lt;&gt;"EXCLUDE","",IF(P155="No","Digital Twin mentioned only, not the subject",IF(Q155="No","No Design for Safety/Quality in full text",IF(R155="No","Methodology not codable",""))))</f>
        <v/>
      </c>
      <c r="U155" s="14"/>
      <c r="V155" s="14"/>
      <c r="W155" s="14"/>
      <c r="X155" s="14"/>
      <c r="Y155" s="11" t="str">
        <f>IF(SUM(V155:X155)=0,"",IF(SUM(V155:X155)&gt;=2,"Multi","Single"))</f>
        <v/>
      </c>
      <c r="Z155" s="14"/>
      <c r="AA155" s="14"/>
      <c r="AB155" s="14"/>
      <c r="AC155" s="14"/>
      <c r="AD155" s="14"/>
      <c r="AE155" s="14"/>
      <c r="AF155" s="14"/>
      <c r="AG155" s="15"/>
    </row>
    <row r="156" spans="1:33">
      <c r="A156" s="8" t="s">
        <v>280</v>
      </c>
      <c r="B156" s="9"/>
      <c r="C156" s="8"/>
      <c r="D156" s="9"/>
      <c r="E156" s="9"/>
      <c r="F156" s="8"/>
      <c r="G156" s="10"/>
      <c r="H156" s="10"/>
      <c r="I156" s="10"/>
      <c r="J156" s="10"/>
      <c r="K156" s="10"/>
      <c r="L156" s="11" t="str">
        <f>IF(COUNTBLANK(G156:K156)=5,"",IF(COUNTIF(G156:K156,"No")&gt;0,"EXCLUDE","INCLUDE"))</f>
        <v/>
      </c>
      <c r="M156" s="11" t="str">
        <f>IF(L156&lt;&gt;"EXCLUDE","",IF(G156="No","Wrong domain (non-AECO)",IF(H156="No","Digital Twin not core / buzzword",IF(I156="No","No Design for Safety/Quality/PtD",IF(J156="No","Wrong publication type",IF(K156="No","Non-English",""))))))</f>
        <v/>
      </c>
      <c r="N156" s="12"/>
      <c r="O156" s="12"/>
      <c r="P156" s="13"/>
      <c r="Q156" s="13"/>
      <c r="R156" s="13"/>
      <c r="S156" s="11" t="str">
        <f>IF(N156&lt;&gt;"Yes","",IF(COUNTBLANK(P156:R156)=3,"",IF(COUNTIF(P156:R156,"No")&gt;0,"EXCLUDE","INCLUDE")))</f>
        <v/>
      </c>
      <c r="T156" s="11" t="str">
        <f>IF(S156&lt;&gt;"EXCLUDE","",IF(P156="No","Digital Twin mentioned only, not the subject",IF(Q156="No","No Design for Safety/Quality in full text",IF(R156="No","Methodology not codable",""))))</f>
        <v/>
      </c>
      <c r="U156" s="14"/>
      <c r="V156" s="14"/>
      <c r="W156" s="14"/>
      <c r="X156" s="14"/>
      <c r="Y156" s="11" t="str">
        <f>IF(SUM(V156:X156)=0,"",IF(SUM(V156:X156)&gt;=2,"Multi","Single"))</f>
        <v/>
      </c>
      <c r="Z156" s="14"/>
      <c r="AA156" s="14"/>
      <c r="AB156" s="14"/>
      <c r="AC156" s="14"/>
      <c r="AD156" s="14"/>
      <c r="AE156" s="14"/>
      <c r="AF156" s="14"/>
      <c r="AG156" s="15"/>
    </row>
    <row r="157" spans="1:33">
      <c r="A157" s="8" t="s">
        <v>281</v>
      </c>
      <c r="B157" s="9"/>
      <c r="C157" s="8"/>
      <c r="D157" s="9"/>
      <c r="E157" s="9"/>
      <c r="F157" s="8"/>
      <c r="G157" s="10"/>
      <c r="H157" s="10"/>
      <c r="I157" s="10"/>
      <c r="J157" s="10"/>
      <c r="K157" s="10"/>
      <c r="L157" s="11" t="str">
        <f>IF(COUNTBLANK(G157:K157)=5,"",IF(COUNTIF(G157:K157,"No")&gt;0,"EXCLUDE","INCLUDE"))</f>
        <v/>
      </c>
      <c r="M157" s="11" t="str">
        <f>IF(L157&lt;&gt;"EXCLUDE","",IF(G157="No","Wrong domain (non-AECO)",IF(H157="No","Digital Twin not core / buzzword",IF(I157="No","No Design for Safety/Quality/PtD",IF(J157="No","Wrong publication type",IF(K157="No","Non-English",""))))))</f>
        <v/>
      </c>
      <c r="N157" s="12"/>
      <c r="O157" s="12"/>
      <c r="P157" s="13"/>
      <c r="Q157" s="13"/>
      <c r="R157" s="13"/>
      <c r="S157" s="11" t="str">
        <f>IF(N157&lt;&gt;"Yes","",IF(COUNTBLANK(P157:R157)=3,"",IF(COUNTIF(P157:R157,"No")&gt;0,"EXCLUDE","INCLUDE")))</f>
        <v/>
      </c>
      <c r="T157" s="11" t="str">
        <f>IF(S157&lt;&gt;"EXCLUDE","",IF(P157="No","Digital Twin mentioned only, not the subject",IF(Q157="No","No Design for Safety/Quality in full text",IF(R157="No","Methodology not codable",""))))</f>
        <v/>
      </c>
      <c r="U157" s="14"/>
      <c r="V157" s="14"/>
      <c r="W157" s="14"/>
      <c r="X157" s="14"/>
      <c r="Y157" s="11" t="str">
        <f>IF(SUM(V157:X157)=0,"",IF(SUM(V157:X157)&gt;=2,"Multi","Single"))</f>
        <v/>
      </c>
      <c r="Z157" s="14"/>
      <c r="AA157" s="14"/>
      <c r="AB157" s="14"/>
      <c r="AC157" s="14"/>
      <c r="AD157" s="14"/>
      <c r="AE157" s="14"/>
      <c r="AF157" s="14"/>
      <c r="AG157" s="15"/>
    </row>
    <row r="158" spans="1:33">
      <c r="A158" s="8" t="s">
        <v>282</v>
      </c>
      <c r="B158" s="9"/>
      <c r="C158" s="8"/>
      <c r="D158" s="9"/>
      <c r="E158" s="9"/>
      <c r="F158" s="8"/>
      <c r="G158" s="10"/>
      <c r="H158" s="10"/>
      <c r="I158" s="10"/>
      <c r="J158" s="10"/>
      <c r="K158" s="10"/>
      <c r="L158" s="11" t="str">
        <f>IF(COUNTBLANK(G158:K158)=5,"",IF(COUNTIF(G158:K158,"No")&gt;0,"EXCLUDE","INCLUDE"))</f>
        <v/>
      </c>
      <c r="M158" s="11" t="str">
        <f>IF(L158&lt;&gt;"EXCLUDE","",IF(G158="No","Wrong domain (non-AECO)",IF(H158="No","Digital Twin not core / buzzword",IF(I158="No","No Design for Safety/Quality/PtD",IF(J158="No","Wrong publication type",IF(K158="No","Non-English",""))))))</f>
        <v/>
      </c>
      <c r="N158" s="12"/>
      <c r="O158" s="12"/>
      <c r="P158" s="13"/>
      <c r="Q158" s="13"/>
      <c r="R158" s="13"/>
      <c r="S158" s="11" t="str">
        <f>IF(N158&lt;&gt;"Yes","",IF(COUNTBLANK(P158:R158)=3,"",IF(COUNTIF(P158:R158,"No")&gt;0,"EXCLUDE","INCLUDE")))</f>
        <v/>
      </c>
      <c r="T158" s="11" t="str">
        <f>IF(S158&lt;&gt;"EXCLUDE","",IF(P158="No","Digital Twin mentioned only, not the subject",IF(Q158="No","No Design for Safety/Quality in full text",IF(R158="No","Methodology not codable",""))))</f>
        <v/>
      </c>
      <c r="U158" s="14"/>
      <c r="V158" s="14"/>
      <c r="W158" s="14"/>
      <c r="X158" s="14"/>
      <c r="Y158" s="11" t="str">
        <f>IF(SUM(V158:X158)=0,"",IF(SUM(V158:X158)&gt;=2,"Multi","Single"))</f>
        <v/>
      </c>
      <c r="Z158" s="14"/>
      <c r="AA158" s="14"/>
      <c r="AB158" s="14"/>
      <c r="AC158" s="14"/>
      <c r="AD158" s="14"/>
      <c r="AE158" s="14"/>
      <c r="AF158" s="14"/>
      <c r="AG158" s="15"/>
    </row>
    <row r="159" spans="1:33">
      <c r="A159" s="8" t="s">
        <v>283</v>
      </c>
      <c r="B159" s="9"/>
      <c r="C159" s="8"/>
      <c r="D159" s="9"/>
      <c r="E159" s="9"/>
      <c r="F159" s="8"/>
      <c r="G159" s="10"/>
      <c r="H159" s="10"/>
      <c r="I159" s="10"/>
      <c r="J159" s="10"/>
      <c r="K159" s="10"/>
      <c r="L159" s="11" t="str">
        <f>IF(COUNTBLANK(G159:K159)=5,"",IF(COUNTIF(G159:K159,"No")&gt;0,"EXCLUDE","INCLUDE"))</f>
        <v/>
      </c>
      <c r="M159" s="11" t="str">
        <f>IF(L159&lt;&gt;"EXCLUDE","",IF(G159="No","Wrong domain (non-AECO)",IF(H159="No","Digital Twin not core / buzzword",IF(I159="No","No Design for Safety/Quality/PtD",IF(J159="No","Wrong publication type",IF(K159="No","Non-English",""))))))</f>
        <v/>
      </c>
      <c r="N159" s="12"/>
      <c r="O159" s="12"/>
      <c r="P159" s="13"/>
      <c r="Q159" s="13"/>
      <c r="R159" s="13"/>
      <c r="S159" s="11" t="str">
        <f>IF(N159&lt;&gt;"Yes","",IF(COUNTBLANK(P159:R159)=3,"",IF(COUNTIF(P159:R159,"No")&gt;0,"EXCLUDE","INCLUDE")))</f>
        <v/>
      </c>
      <c r="T159" s="11" t="str">
        <f>IF(S159&lt;&gt;"EXCLUDE","",IF(P159="No","Digital Twin mentioned only, not the subject",IF(Q159="No","No Design for Safety/Quality in full text",IF(R159="No","Methodology not codable",""))))</f>
        <v/>
      </c>
      <c r="U159" s="14"/>
      <c r="V159" s="14"/>
      <c r="W159" s="14"/>
      <c r="X159" s="14"/>
      <c r="Y159" s="11" t="str">
        <f>IF(SUM(V159:X159)=0,"",IF(SUM(V159:X159)&gt;=2,"Multi","Single"))</f>
        <v/>
      </c>
      <c r="Z159" s="14"/>
      <c r="AA159" s="14"/>
      <c r="AB159" s="14"/>
      <c r="AC159" s="14"/>
      <c r="AD159" s="14"/>
      <c r="AE159" s="14"/>
      <c r="AF159" s="14"/>
      <c r="AG159" s="15"/>
    </row>
    <row r="160" spans="1:33">
      <c r="A160" s="8" t="s">
        <v>284</v>
      </c>
      <c r="B160" s="9"/>
      <c r="C160" s="8"/>
      <c r="D160" s="9"/>
      <c r="E160" s="9"/>
      <c r="F160" s="8"/>
      <c r="G160" s="10"/>
      <c r="H160" s="10"/>
      <c r="I160" s="10"/>
      <c r="J160" s="10"/>
      <c r="K160" s="10"/>
      <c r="L160" s="11" t="str">
        <f>IF(COUNTBLANK(G160:K160)=5,"",IF(COUNTIF(G160:K160,"No")&gt;0,"EXCLUDE","INCLUDE"))</f>
        <v/>
      </c>
      <c r="M160" s="11" t="str">
        <f>IF(L160&lt;&gt;"EXCLUDE","",IF(G160="No","Wrong domain (non-AECO)",IF(H160="No","Digital Twin not core / buzzword",IF(I160="No","No Design for Safety/Quality/PtD",IF(J160="No","Wrong publication type",IF(K160="No","Non-English",""))))))</f>
        <v/>
      </c>
      <c r="N160" s="12"/>
      <c r="O160" s="12"/>
      <c r="P160" s="13"/>
      <c r="Q160" s="13"/>
      <c r="R160" s="13"/>
      <c r="S160" s="11" t="str">
        <f>IF(N160&lt;&gt;"Yes","",IF(COUNTBLANK(P160:R160)=3,"",IF(COUNTIF(P160:R160,"No")&gt;0,"EXCLUDE","INCLUDE")))</f>
        <v/>
      </c>
      <c r="T160" s="11" t="str">
        <f>IF(S160&lt;&gt;"EXCLUDE","",IF(P160="No","Digital Twin mentioned only, not the subject",IF(Q160="No","No Design for Safety/Quality in full text",IF(R160="No","Methodology not codable",""))))</f>
        <v/>
      </c>
      <c r="U160" s="14"/>
      <c r="V160" s="14"/>
      <c r="W160" s="14"/>
      <c r="X160" s="14"/>
      <c r="Y160" s="11" t="str">
        <f>IF(SUM(V160:X160)=0,"",IF(SUM(V160:X160)&gt;=2,"Multi","Single"))</f>
        <v/>
      </c>
      <c r="Z160" s="14"/>
      <c r="AA160" s="14"/>
      <c r="AB160" s="14"/>
      <c r="AC160" s="14"/>
      <c r="AD160" s="14"/>
      <c r="AE160" s="14"/>
      <c r="AF160" s="14"/>
      <c r="AG160" s="15"/>
    </row>
    <row r="161" spans="1:33">
      <c r="A161" s="8" t="s">
        <v>285</v>
      </c>
      <c r="B161" s="9"/>
      <c r="C161" s="8"/>
      <c r="D161" s="9"/>
      <c r="E161" s="9"/>
      <c r="F161" s="8"/>
      <c r="G161" s="10"/>
      <c r="H161" s="10"/>
      <c r="I161" s="10"/>
      <c r="J161" s="10"/>
      <c r="K161" s="10"/>
      <c r="L161" s="11" t="str">
        <f>IF(COUNTBLANK(G161:K161)=5,"",IF(COUNTIF(G161:K161,"No")&gt;0,"EXCLUDE","INCLUDE"))</f>
        <v/>
      </c>
      <c r="M161" s="11" t="str">
        <f>IF(L161&lt;&gt;"EXCLUDE","",IF(G161="No","Wrong domain (non-AECO)",IF(H161="No","Digital Twin not core / buzzword",IF(I161="No","No Design for Safety/Quality/PtD",IF(J161="No","Wrong publication type",IF(K161="No","Non-English",""))))))</f>
        <v/>
      </c>
      <c r="N161" s="12"/>
      <c r="O161" s="12"/>
      <c r="P161" s="13"/>
      <c r="Q161" s="13"/>
      <c r="R161" s="13"/>
      <c r="S161" s="11" t="str">
        <f>IF(N161&lt;&gt;"Yes","",IF(COUNTBLANK(P161:R161)=3,"",IF(COUNTIF(P161:R161,"No")&gt;0,"EXCLUDE","INCLUDE")))</f>
        <v/>
      </c>
      <c r="T161" s="11" t="str">
        <f>IF(S161&lt;&gt;"EXCLUDE","",IF(P161="No","Digital Twin mentioned only, not the subject",IF(Q161="No","No Design for Safety/Quality in full text",IF(R161="No","Methodology not codable",""))))</f>
        <v/>
      </c>
      <c r="U161" s="14"/>
      <c r="V161" s="14"/>
      <c r="W161" s="14"/>
      <c r="X161" s="14"/>
      <c r="Y161" s="11" t="str">
        <f>IF(SUM(V161:X161)=0,"",IF(SUM(V161:X161)&gt;=2,"Multi","Single"))</f>
        <v/>
      </c>
      <c r="Z161" s="14"/>
      <c r="AA161" s="14"/>
      <c r="AB161" s="14"/>
      <c r="AC161" s="14"/>
      <c r="AD161" s="14"/>
      <c r="AE161" s="14"/>
      <c r="AF161" s="14"/>
      <c r="AG161" s="15"/>
    </row>
    <row r="162" spans="1:33">
      <c r="A162" s="8" t="s">
        <v>286</v>
      </c>
      <c r="B162" s="9"/>
      <c r="C162" s="8"/>
      <c r="D162" s="9"/>
      <c r="E162" s="9"/>
      <c r="F162" s="8"/>
      <c r="G162" s="10"/>
      <c r="H162" s="10"/>
      <c r="I162" s="10"/>
      <c r="J162" s="10"/>
      <c r="K162" s="10"/>
      <c r="L162" s="11" t="str">
        <f>IF(COUNTBLANK(G162:K162)=5,"",IF(COUNTIF(G162:K162,"No")&gt;0,"EXCLUDE","INCLUDE"))</f>
        <v/>
      </c>
      <c r="M162" s="11" t="str">
        <f>IF(L162&lt;&gt;"EXCLUDE","",IF(G162="No","Wrong domain (non-AECO)",IF(H162="No","Digital Twin not core / buzzword",IF(I162="No","No Design for Safety/Quality/PtD",IF(J162="No","Wrong publication type",IF(K162="No","Non-English",""))))))</f>
        <v/>
      </c>
      <c r="N162" s="12"/>
      <c r="O162" s="12"/>
      <c r="P162" s="13"/>
      <c r="Q162" s="13"/>
      <c r="R162" s="13"/>
      <c r="S162" s="11" t="str">
        <f>IF(N162&lt;&gt;"Yes","",IF(COUNTBLANK(P162:R162)=3,"",IF(COUNTIF(P162:R162,"No")&gt;0,"EXCLUDE","INCLUDE")))</f>
        <v/>
      </c>
      <c r="T162" s="11" t="str">
        <f>IF(S162&lt;&gt;"EXCLUDE","",IF(P162="No","Digital Twin mentioned only, not the subject",IF(Q162="No","No Design for Safety/Quality in full text",IF(R162="No","Methodology not codable",""))))</f>
        <v/>
      </c>
      <c r="U162" s="14"/>
      <c r="V162" s="14"/>
      <c r="W162" s="14"/>
      <c r="X162" s="14"/>
      <c r="Y162" s="11" t="str">
        <f>IF(SUM(V162:X162)=0,"",IF(SUM(V162:X162)&gt;=2,"Multi","Single"))</f>
        <v/>
      </c>
      <c r="Z162" s="14"/>
      <c r="AA162" s="14"/>
      <c r="AB162" s="14"/>
      <c r="AC162" s="14"/>
      <c r="AD162" s="14"/>
      <c r="AE162" s="14"/>
      <c r="AF162" s="14"/>
      <c r="AG162" s="15"/>
    </row>
    <row r="163" spans="1:33">
      <c r="A163" s="8" t="s">
        <v>287</v>
      </c>
      <c r="B163" s="9"/>
      <c r="C163" s="8"/>
      <c r="D163" s="9"/>
      <c r="E163" s="9"/>
      <c r="F163" s="8"/>
      <c r="G163" s="10"/>
      <c r="H163" s="10"/>
      <c r="I163" s="10"/>
      <c r="J163" s="10"/>
      <c r="K163" s="10"/>
      <c r="L163" s="11" t="str">
        <f>IF(COUNTBLANK(G163:K163)=5,"",IF(COUNTIF(G163:K163,"No")&gt;0,"EXCLUDE","INCLUDE"))</f>
        <v/>
      </c>
      <c r="M163" s="11" t="str">
        <f>IF(L163&lt;&gt;"EXCLUDE","",IF(G163="No","Wrong domain (non-AECO)",IF(H163="No","Digital Twin not core / buzzword",IF(I163="No","No Design for Safety/Quality/PtD",IF(J163="No","Wrong publication type",IF(K163="No","Non-English",""))))))</f>
        <v/>
      </c>
      <c r="N163" s="12"/>
      <c r="O163" s="12"/>
      <c r="P163" s="13"/>
      <c r="Q163" s="13"/>
      <c r="R163" s="13"/>
      <c r="S163" s="11" t="str">
        <f>IF(N163&lt;&gt;"Yes","",IF(COUNTBLANK(P163:R163)=3,"",IF(COUNTIF(P163:R163,"No")&gt;0,"EXCLUDE","INCLUDE")))</f>
        <v/>
      </c>
      <c r="T163" s="11" t="str">
        <f>IF(S163&lt;&gt;"EXCLUDE","",IF(P163="No","Digital Twin mentioned only, not the subject",IF(Q163="No","No Design for Safety/Quality in full text",IF(R163="No","Methodology not codable",""))))</f>
        <v/>
      </c>
      <c r="U163" s="14"/>
      <c r="V163" s="14"/>
      <c r="W163" s="14"/>
      <c r="X163" s="14"/>
      <c r="Y163" s="11" t="str">
        <f>IF(SUM(V163:X163)=0,"",IF(SUM(V163:X163)&gt;=2,"Multi","Single"))</f>
        <v/>
      </c>
      <c r="Z163" s="14"/>
      <c r="AA163" s="14"/>
      <c r="AB163" s="14"/>
      <c r="AC163" s="14"/>
      <c r="AD163" s="14"/>
      <c r="AE163" s="14"/>
      <c r="AF163" s="14"/>
      <c r="AG163" s="15"/>
    </row>
    <row r="164" spans="1:33">
      <c r="A164" s="8" t="s">
        <v>288</v>
      </c>
      <c r="B164" s="9"/>
      <c r="C164" s="8"/>
      <c r="D164" s="9"/>
      <c r="E164" s="9"/>
      <c r="F164" s="8"/>
      <c r="G164" s="10"/>
      <c r="H164" s="10"/>
      <c r="I164" s="10"/>
      <c r="J164" s="10"/>
      <c r="K164" s="10"/>
      <c r="L164" s="11" t="str">
        <f>IF(COUNTBLANK(G164:K164)=5,"",IF(COUNTIF(G164:K164,"No")&gt;0,"EXCLUDE","INCLUDE"))</f>
        <v/>
      </c>
      <c r="M164" s="11" t="str">
        <f>IF(L164&lt;&gt;"EXCLUDE","",IF(G164="No","Wrong domain (non-AECO)",IF(H164="No","Digital Twin not core / buzzword",IF(I164="No","No Design for Safety/Quality/PtD",IF(J164="No","Wrong publication type",IF(K164="No","Non-English",""))))))</f>
        <v/>
      </c>
      <c r="N164" s="12"/>
      <c r="O164" s="12"/>
      <c r="P164" s="13"/>
      <c r="Q164" s="13"/>
      <c r="R164" s="13"/>
      <c r="S164" s="11" t="str">
        <f>IF(N164&lt;&gt;"Yes","",IF(COUNTBLANK(P164:R164)=3,"",IF(COUNTIF(P164:R164,"No")&gt;0,"EXCLUDE","INCLUDE")))</f>
        <v/>
      </c>
      <c r="T164" s="11" t="str">
        <f>IF(S164&lt;&gt;"EXCLUDE","",IF(P164="No","Digital Twin mentioned only, not the subject",IF(Q164="No","No Design for Safety/Quality in full text",IF(R164="No","Methodology not codable",""))))</f>
        <v/>
      </c>
      <c r="U164" s="14"/>
      <c r="V164" s="14"/>
      <c r="W164" s="14"/>
      <c r="X164" s="14"/>
      <c r="Y164" s="11" t="str">
        <f>IF(SUM(V164:X164)=0,"",IF(SUM(V164:X164)&gt;=2,"Multi","Single"))</f>
        <v/>
      </c>
      <c r="Z164" s="14"/>
      <c r="AA164" s="14"/>
      <c r="AB164" s="14"/>
      <c r="AC164" s="14"/>
      <c r="AD164" s="14"/>
      <c r="AE164" s="14"/>
      <c r="AF164" s="14"/>
      <c r="AG164" s="15"/>
    </row>
    <row r="165" spans="1:33">
      <c r="A165" s="8" t="s">
        <v>289</v>
      </c>
      <c r="B165" s="9"/>
      <c r="C165" s="8"/>
      <c r="D165" s="9"/>
      <c r="E165" s="9"/>
      <c r="F165" s="8"/>
      <c r="G165" s="10"/>
      <c r="H165" s="10"/>
      <c r="I165" s="10"/>
      <c r="J165" s="10"/>
      <c r="K165" s="10"/>
      <c r="L165" s="11" t="str">
        <f>IF(COUNTBLANK(G165:K165)=5,"",IF(COUNTIF(G165:K165,"No")&gt;0,"EXCLUDE","INCLUDE"))</f>
        <v/>
      </c>
      <c r="M165" s="11" t="str">
        <f>IF(L165&lt;&gt;"EXCLUDE","",IF(G165="No","Wrong domain (non-AECO)",IF(H165="No","Digital Twin not core / buzzword",IF(I165="No","No Design for Safety/Quality/PtD",IF(J165="No","Wrong publication type",IF(K165="No","Non-English",""))))))</f>
        <v/>
      </c>
      <c r="N165" s="12"/>
      <c r="O165" s="12"/>
      <c r="P165" s="13"/>
      <c r="Q165" s="13"/>
      <c r="R165" s="13"/>
      <c r="S165" s="11" t="str">
        <f>IF(N165&lt;&gt;"Yes","",IF(COUNTBLANK(P165:R165)=3,"",IF(COUNTIF(P165:R165,"No")&gt;0,"EXCLUDE","INCLUDE")))</f>
        <v/>
      </c>
      <c r="T165" s="11" t="str">
        <f>IF(S165&lt;&gt;"EXCLUDE","",IF(P165="No","Digital Twin mentioned only, not the subject",IF(Q165="No","No Design for Safety/Quality in full text",IF(R165="No","Methodology not codable",""))))</f>
        <v/>
      </c>
      <c r="U165" s="14"/>
      <c r="V165" s="14"/>
      <c r="W165" s="14"/>
      <c r="X165" s="14"/>
      <c r="Y165" s="11" t="str">
        <f>IF(SUM(V165:X165)=0,"",IF(SUM(V165:X165)&gt;=2,"Multi","Single"))</f>
        <v/>
      </c>
      <c r="Z165" s="14"/>
      <c r="AA165" s="14"/>
      <c r="AB165" s="14"/>
      <c r="AC165" s="14"/>
      <c r="AD165" s="14"/>
      <c r="AE165" s="14"/>
      <c r="AF165" s="14"/>
      <c r="AG165" s="15"/>
    </row>
    <row r="166" spans="1:33">
      <c r="A166" s="8" t="s">
        <v>290</v>
      </c>
      <c r="B166" s="9"/>
      <c r="C166" s="8"/>
      <c r="D166" s="9"/>
      <c r="E166" s="9"/>
      <c r="F166" s="8"/>
      <c r="G166" s="10"/>
      <c r="H166" s="10"/>
      <c r="I166" s="10"/>
      <c r="J166" s="10"/>
      <c r="K166" s="10"/>
      <c r="L166" s="11" t="str">
        <f>IF(COUNTBLANK(G166:K166)=5,"",IF(COUNTIF(G166:K166,"No")&gt;0,"EXCLUDE","INCLUDE"))</f>
        <v/>
      </c>
      <c r="M166" s="11" t="str">
        <f>IF(L166&lt;&gt;"EXCLUDE","",IF(G166="No","Wrong domain (non-AECO)",IF(H166="No","Digital Twin not core / buzzword",IF(I166="No","No Design for Safety/Quality/PtD",IF(J166="No","Wrong publication type",IF(K166="No","Non-English",""))))))</f>
        <v/>
      </c>
      <c r="N166" s="12"/>
      <c r="O166" s="12"/>
      <c r="P166" s="13"/>
      <c r="Q166" s="13"/>
      <c r="R166" s="13"/>
      <c r="S166" s="11" t="str">
        <f>IF(N166&lt;&gt;"Yes","",IF(COUNTBLANK(P166:R166)=3,"",IF(COUNTIF(P166:R166,"No")&gt;0,"EXCLUDE","INCLUDE")))</f>
        <v/>
      </c>
      <c r="T166" s="11" t="str">
        <f>IF(S166&lt;&gt;"EXCLUDE","",IF(P166="No","Digital Twin mentioned only, not the subject",IF(Q166="No","No Design for Safety/Quality in full text",IF(R166="No","Methodology not codable",""))))</f>
        <v/>
      </c>
      <c r="U166" s="14"/>
      <c r="V166" s="14"/>
      <c r="W166" s="14"/>
      <c r="X166" s="14"/>
      <c r="Y166" s="11" t="str">
        <f>IF(SUM(V166:X166)=0,"",IF(SUM(V166:X166)&gt;=2,"Multi","Single"))</f>
        <v/>
      </c>
      <c r="Z166" s="14"/>
      <c r="AA166" s="14"/>
      <c r="AB166" s="14"/>
      <c r="AC166" s="14"/>
      <c r="AD166" s="14"/>
      <c r="AE166" s="14"/>
      <c r="AF166" s="14"/>
      <c r="AG166" s="15"/>
    </row>
    <row r="167" spans="1:33">
      <c r="A167" s="8" t="s">
        <v>291</v>
      </c>
      <c r="B167" s="9"/>
      <c r="C167" s="8"/>
      <c r="D167" s="9"/>
      <c r="E167" s="9"/>
      <c r="F167" s="8"/>
      <c r="G167" s="10"/>
      <c r="H167" s="10"/>
      <c r="I167" s="10"/>
      <c r="J167" s="10"/>
      <c r="K167" s="10"/>
      <c r="L167" s="11" t="str">
        <f>IF(COUNTBLANK(G167:K167)=5,"",IF(COUNTIF(G167:K167,"No")&gt;0,"EXCLUDE","INCLUDE"))</f>
        <v/>
      </c>
      <c r="M167" s="11" t="str">
        <f>IF(L167&lt;&gt;"EXCLUDE","",IF(G167="No","Wrong domain (non-AECO)",IF(H167="No","Digital Twin not core / buzzword",IF(I167="No","No Design for Safety/Quality/PtD",IF(J167="No","Wrong publication type",IF(K167="No","Non-English",""))))))</f>
        <v/>
      </c>
      <c r="N167" s="12"/>
      <c r="O167" s="12"/>
      <c r="P167" s="13"/>
      <c r="Q167" s="13"/>
      <c r="R167" s="13"/>
      <c r="S167" s="11" t="str">
        <f>IF(N167&lt;&gt;"Yes","",IF(COUNTBLANK(P167:R167)=3,"",IF(COUNTIF(P167:R167,"No")&gt;0,"EXCLUDE","INCLUDE")))</f>
        <v/>
      </c>
      <c r="T167" s="11" t="str">
        <f>IF(S167&lt;&gt;"EXCLUDE","",IF(P167="No","Digital Twin mentioned only, not the subject",IF(Q167="No","No Design for Safety/Quality in full text",IF(R167="No","Methodology not codable",""))))</f>
        <v/>
      </c>
      <c r="U167" s="14"/>
      <c r="V167" s="14"/>
      <c r="W167" s="14"/>
      <c r="X167" s="14"/>
      <c r="Y167" s="11" t="str">
        <f>IF(SUM(V167:X167)=0,"",IF(SUM(V167:X167)&gt;=2,"Multi","Single"))</f>
        <v/>
      </c>
      <c r="Z167" s="14"/>
      <c r="AA167" s="14"/>
      <c r="AB167" s="14"/>
      <c r="AC167" s="14"/>
      <c r="AD167" s="14"/>
      <c r="AE167" s="14"/>
      <c r="AF167" s="14"/>
      <c r="AG167" s="15"/>
    </row>
    <row r="168" spans="1:33">
      <c r="A168" s="8" t="s">
        <v>292</v>
      </c>
      <c r="B168" s="9"/>
      <c r="C168" s="8"/>
      <c r="D168" s="9"/>
      <c r="E168" s="9"/>
      <c r="F168" s="8"/>
      <c r="G168" s="10"/>
      <c r="H168" s="10"/>
      <c r="I168" s="10"/>
      <c r="J168" s="10"/>
      <c r="K168" s="10"/>
      <c r="L168" s="11" t="str">
        <f>IF(COUNTBLANK(G168:K168)=5,"",IF(COUNTIF(G168:K168,"No")&gt;0,"EXCLUDE","INCLUDE"))</f>
        <v/>
      </c>
      <c r="M168" s="11" t="str">
        <f>IF(L168&lt;&gt;"EXCLUDE","",IF(G168="No","Wrong domain (non-AECO)",IF(H168="No","Digital Twin not core / buzzword",IF(I168="No","No Design for Safety/Quality/PtD",IF(J168="No","Wrong publication type",IF(K168="No","Non-English",""))))))</f>
        <v/>
      </c>
      <c r="N168" s="12"/>
      <c r="O168" s="12"/>
      <c r="P168" s="13"/>
      <c r="Q168" s="13"/>
      <c r="R168" s="13"/>
      <c r="S168" s="11" t="str">
        <f>IF(N168&lt;&gt;"Yes","",IF(COUNTBLANK(P168:R168)=3,"",IF(COUNTIF(P168:R168,"No")&gt;0,"EXCLUDE","INCLUDE")))</f>
        <v/>
      </c>
      <c r="T168" s="11" t="str">
        <f>IF(S168&lt;&gt;"EXCLUDE","",IF(P168="No","Digital Twin mentioned only, not the subject",IF(Q168="No","No Design for Safety/Quality in full text",IF(R168="No","Methodology not codable",""))))</f>
        <v/>
      </c>
      <c r="U168" s="14"/>
      <c r="V168" s="14"/>
      <c r="W168" s="14"/>
      <c r="X168" s="14"/>
      <c r="Y168" s="11" t="str">
        <f>IF(SUM(V168:X168)=0,"",IF(SUM(V168:X168)&gt;=2,"Multi","Single"))</f>
        <v/>
      </c>
      <c r="Z168" s="14"/>
      <c r="AA168" s="14"/>
      <c r="AB168" s="14"/>
      <c r="AC168" s="14"/>
      <c r="AD168" s="14"/>
      <c r="AE168" s="14"/>
      <c r="AF168" s="14"/>
      <c r="AG168" s="15"/>
    </row>
    <row r="169" spans="1:33">
      <c r="A169" s="8" t="s">
        <v>293</v>
      </c>
      <c r="B169" s="9"/>
      <c r="C169" s="8"/>
      <c r="D169" s="9"/>
      <c r="E169" s="9"/>
      <c r="F169" s="8"/>
      <c r="G169" s="10"/>
      <c r="H169" s="10"/>
      <c r="I169" s="10"/>
      <c r="J169" s="10"/>
      <c r="K169" s="10"/>
      <c r="L169" s="11" t="str">
        <f>IF(COUNTBLANK(G169:K169)=5,"",IF(COUNTIF(G169:K169,"No")&gt;0,"EXCLUDE","INCLUDE"))</f>
        <v/>
      </c>
      <c r="M169" s="11" t="str">
        <f>IF(L169&lt;&gt;"EXCLUDE","",IF(G169="No","Wrong domain (non-AECO)",IF(H169="No","Digital Twin not core / buzzword",IF(I169="No","No Design for Safety/Quality/PtD",IF(J169="No","Wrong publication type",IF(K169="No","Non-English",""))))))</f>
        <v/>
      </c>
      <c r="N169" s="12"/>
      <c r="O169" s="12"/>
      <c r="P169" s="13"/>
      <c r="Q169" s="13"/>
      <c r="R169" s="13"/>
      <c r="S169" s="11" t="str">
        <f>IF(N169&lt;&gt;"Yes","",IF(COUNTBLANK(P169:R169)=3,"",IF(COUNTIF(P169:R169,"No")&gt;0,"EXCLUDE","INCLUDE")))</f>
        <v/>
      </c>
      <c r="T169" s="11" t="str">
        <f>IF(S169&lt;&gt;"EXCLUDE","",IF(P169="No","Digital Twin mentioned only, not the subject",IF(Q169="No","No Design for Safety/Quality in full text",IF(R169="No","Methodology not codable",""))))</f>
        <v/>
      </c>
      <c r="U169" s="14"/>
      <c r="V169" s="14"/>
      <c r="W169" s="14"/>
      <c r="X169" s="14"/>
      <c r="Y169" s="11" t="str">
        <f>IF(SUM(V169:X169)=0,"",IF(SUM(V169:X169)&gt;=2,"Multi","Single"))</f>
        <v/>
      </c>
      <c r="Z169" s="14"/>
      <c r="AA169" s="14"/>
      <c r="AB169" s="14"/>
      <c r="AC169" s="14"/>
      <c r="AD169" s="14"/>
      <c r="AE169" s="14"/>
      <c r="AF169" s="14"/>
      <c r="AG169" s="15"/>
    </row>
    <row r="170" spans="1:33">
      <c r="A170" s="8" t="s">
        <v>294</v>
      </c>
      <c r="B170" s="9"/>
      <c r="C170" s="8"/>
      <c r="D170" s="9"/>
      <c r="E170" s="9"/>
      <c r="F170" s="8"/>
      <c r="G170" s="10"/>
      <c r="H170" s="10"/>
      <c r="I170" s="10"/>
      <c r="J170" s="10"/>
      <c r="K170" s="10"/>
      <c r="L170" s="11" t="str">
        <f>IF(COUNTBLANK(G170:K170)=5,"",IF(COUNTIF(G170:K170,"No")&gt;0,"EXCLUDE","INCLUDE"))</f>
        <v/>
      </c>
      <c r="M170" s="11" t="str">
        <f>IF(L170&lt;&gt;"EXCLUDE","",IF(G170="No","Wrong domain (non-AECO)",IF(H170="No","Digital Twin not core / buzzword",IF(I170="No","No Design for Safety/Quality/PtD",IF(J170="No","Wrong publication type",IF(K170="No","Non-English",""))))))</f>
        <v/>
      </c>
      <c r="N170" s="12"/>
      <c r="O170" s="12"/>
      <c r="P170" s="13"/>
      <c r="Q170" s="13"/>
      <c r="R170" s="13"/>
      <c r="S170" s="11" t="str">
        <f>IF(N170&lt;&gt;"Yes","",IF(COUNTBLANK(P170:R170)=3,"",IF(COUNTIF(P170:R170,"No")&gt;0,"EXCLUDE","INCLUDE")))</f>
        <v/>
      </c>
      <c r="T170" s="11" t="str">
        <f>IF(S170&lt;&gt;"EXCLUDE","",IF(P170="No","Digital Twin mentioned only, not the subject",IF(Q170="No","No Design for Safety/Quality in full text",IF(R170="No","Methodology not codable",""))))</f>
        <v/>
      </c>
      <c r="U170" s="14"/>
      <c r="V170" s="14"/>
      <c r="W170" s="14"/>
      <c r="X170" s="14"/>
      <c r="Y170" s="11" t="str">
        <f>IF(SUM(V170:X170)=0,"",IF(SUM(V170:X170)&gt;=2,"Multi","Single"))</f>
        <v/>
      </c>
      <c r="Z170" s="14"/>
      <c r="AA170" s="14"/>
      <c r="AB170" s="14"/>
      <c r="AC170" s="14"/>
      <c r="AD170" s="14"/>
      <c r="AE170" s="14"/>
      <c r="AF170" s="14"/>
      <c r="AG170" s="15"/>
    </row>
    <row r="171" spans="1:33">
      <c r="A171" s="8" t="s">
        <v>295</v>
      </c>
      <c r="B171" s="9"/>
      <c r="C171" s="8"/>
      <c r="D171" s="9"/>
      <c r="E171" s="9"/>
      <c r="F171" s="8"/>
      <c r="G171" s="10"/>
      <c r="H171" s="10"/>
      <c r="I171" s="10"/>
      <c r="J171" s="10"/>
      <c r="K171" s="10"/>
      <c r="L171" s="11" t="str">
        <f>IF(COUNTBLANK(G171:K171)=5,"",IF(COUNTIF(G171:K171,"No")&gt;0,"EXCLUDE","INCLUDE"))</f>
        <v/>
      </c>
      <c r="M171" s="11" t="str">
        <f>IF(L171&lt;&gt;"EXCLUDE","",IF(G171="No","Wrong domain (non-AECO)",IF(H171="No","Digital Twin not core / buzzword",IF(I171="No","No Design for Safety/Quality/PtD",IF(J171="No","Wrong publication type",IF(K171="No","Non-English",""))))))</f>
        <v/>
      </c>
      <c r="N171" s="12"/>
      <c r="O171" s="12"/>
      <c r="P171" s="13"/>
      <c r="Q171" s="13"/>
      <c r="R171" s="13"/>
      <c r="S171" s="11" t="str">
        <f>IF(N171&lt;&gt;"Yes","",IF(COUNTBLANK(P171:R171)=3,"",IF(COUNTIF(P171:R171,"No")&gt;0,"EXCLUDE","INCLUDE")))</f>
        <v/>
      </c>
      <c r="T171" s="11" t="str">
        <f>IF(S171&lt;&gt;"EXCLUDE","",IF(P171="No","Digital Twin mentioned only, not the subject",IF(Q171="No","No Design for Safety/Quality in full text",IF(R171="No","Methodology not codable",""))))</f>
        <v/>
      </c>
      <c r="U171" s="14"/>
      <c r="V171" s="14"/>
      <c r="W171" s="14"/>
      <c r="X171" s="14"/>
      <c r="Y171" s="11" t="str">
        <f>IF(SUM(V171:X171)=0,"",IF(SUM(V171:X171)&gt;=2,"Multi","Single"))</f>
        <v/>
      </c>
      <c r="Z171" s="14"/>
      <c r="AA171" s="14"/>
      <c r="AB171" s="14"/>
      <c r="AC171" s="14"/>
      <c r="AD171" s="14"/>
      <c r="AE171" s="14"/>
      <c r="AF171" s="14"/>
      <c r="AG171" s="15"/>
    </row>
    <row r="172" spans="1:33">
      <c r="A172" s="8" t="s">
        <v>296</v>
      </c>
      <c r="B172" s="9"/>
      <c r="C172" s="8"/>
      <c r="D172" s="9"/>
      <c r="E172" s="9"/>
      <c r="F172" s="8"/>
      <c r="G172" s="10"/>
      <c r="H172" s="10"/>
      <c r="I172" s="10"/>
      <c r="J172" s="10"/>
      <c r="K172" s="10"/>
      <c r="L172" s="11" t="str">
        <f>IF(COUNTBLANK(G172:K172)=5,"",IF(COUNTIF(G172:K172,"No")&gt;0,"EXCLUDE","INCLUDE"))</f>
        <v/>
      </c>
      <c r="M172" s="11" t="str">
        <f>IF(L172&lt;&gt;"EXCLUDE","",IF(G172="No","Wrong domain (non-AECO)",IF(H172="No","Digital Twin not core / buzzword",IF(I172="No","No Design for Safety/Quality/PtD",IF(J172="No","Wrong publication type",IF(K172="No","Non-English",""))))))</f>
        <v/>
      </c>
      <c r="N172" s="12"/>
      <c r="O172" s="12"/>
      <c r="P172" s="13"/>
      <c r="Q172" s="13"/>
      <c r="R172" s="13"/>
      <c r="S172" s="11" t="str">
        <f>IF(N172&lt;&gt;"Yes","",IF(COUNTBLANK(P172:R172)=3,"",IF(COUNTIF(P172:R172,"No")&gt;0,"EXCLUDE","INCLUDE")))</f>
        <v/>
      </c>
      <c r="T172" s="11" t="str">
        <f>IF(S172&lt;&gt;"EXCLUDE","",IF(P172="No","Digital Twin mentioned only, not the subject",IF(Q172="No","No Design for Safety/Quality in full text",IF(R172="No","Methodology not codable",""))))</f>
        <v/>
      </c>
      <c r="U172" s="14"/>
      <c r="V172" s="14"/>
      <c r="W172" s="14"/>
      <c r="X172" s="14"/>
      <c r="Y172" s="11" t="str">
        <f>IF(SUM(V172:X172)=0,"",IF(SUM(V172:X172)&gt;=2,"Multi","Single"))</f>
        <v/>
      </c>
      <c r="Z172" s="14"/>
      <c r="AA172" s="14"/>
      <c r="AB172" s="14"/>
      <c r="AC172" s="14"/>
      <c r="AD172" s="14"/>
      <c r="AE172" s="14"/>
      <c r="AF172" s="14"/>
      <c r="AG172" s="15"/>
    </row>
    <row r="173" spans="1:33">
      <c r="A173" s="8" t="s">
        <v>297</v>
      </c>
      <c r="B173" s="9"/>
      <c r="C173" s="8"/>
      <c r="D173" s="9"/>
      <c r="E173" s="9"/>
      <c r="F173" s="8"/>
      <c r="G173" s="10"/>
      <c r="H173" s="10"/>
      <c r="I173" s="10"/>
      <c r="J173" s="10"/>
      <c r="K173" s="10"/>
      <c r="L173" s="11" t="str">
        <f>IF(COUNTBLANK(G173:K173)=5,"",IF(COUNTIF(G173:K173,"No")&gt;0,"EXCLUDE","INCLUDE"))</f>
        <v/>
      </c>
      <c r="M173" s="11" t="str">
        <f>IF(L173&lt;&gt;"EXCLUDE","",IF(G173="No","Wrong domain (non-AECO)",IF(H173="No","Digital Twin not core / buzzword",IF(I173="No","No Design for Safety/Quality/PtD",IF(J173="No","Wrong publication type",IF(K173="No","Non-English",""))))))</f>
        <v/>
      </c>
      <c r="N173" s="12"/>
      <c r="O173" s="12"/>
      <c r="P173" s="13"/>
      <c r="Q173" s="13"/>
      <c r="R173" s="13"/>
      <c r="S173" s="11" t="str">
        <f>IF(N173&lt;&gt;"Yes","",IF(COUNTBLANK(P173:R173)=3,"",IF(COUNTIF(P173:R173,"No")&gt;0,"EXCLUDE","INCLUDE")))</f>
        <v/>
      </c>
      <c r="T173" s="11" t="str">
        <f>IF(S173&lt;&gt;"EXCLUDE","",IF(P173="No","Digital Twin mentioned only, not the subject",IF(Q173="No","No Design for Safety/Quality in full text",IF(R173="No","Methodology not codable",""))))</f>
        <v/>
      </c>
      <c r="U173" s="14"/>
      <c r="V173" s="14"/>
      <c r="W173" s="14"/>
      <c r="X173" s="14"/>
      <c r="Y173" s="11" t="str">
        <f>IF(SUM(V173:X173)=0,"",IF(SUM(V173:X173)&gt;=2,"Multi","Single"))</f>
        <v/>
      </c>
      <c r="Z173" s="14"/>
      <c r="AA173" s="14"/>
      <c r="AB173" s="14"/>
      <c r="AC173" s="14"/>
      <c r="AD173" s="14"/>
      <c r="AE173" s="14"/>
      <c r="AF173" s="14"/>
      <c r="AG173" s="15"/>
    </row>
    <row r="174" spans="1:33">
      <c r="A174" s="8" t="s">
        <v>298</v>
      </c>
      <c r="B174" s="9"/>
      <c r="C174" s="8"/>
      <c r="D174" s="9"/>
      <c r="E174" s="9"/>
      <c r="F174" s="8"/>
      <c r="G174" s="10"/>
      <c r="H174" s="10"/>
      <c r="I174" s="10"/>
      <c r="J174" s="10"/>
      <c r="K174" s="10"/>
      <c r="L174" s="11" t="str">
        <f>IF(COUNTBLANK(G174:K174)=5,"",IF(COUNTIF(G174:K174,"No")&gt;0,"EXCLUDE","INCLUDE"))</f>
        <v/>
      </c>
      <c r="M174" s="11" t="str">
        <f>IF(L174&lt;&gt;"EXCLUDE","",IF(G174="No","Wrong domain (non-AECO)",IF(H174="No","Digital Twin not core / buzzword",IF(I174="No","No Design for Safety/Quality/PtD",IF(J174="No","Wrong publication type",IF(K174="No","Non-English",""))))))</f>
        <v/>
      </c>
      <c r="N174" s="12"/>
      <c r="O174" s="12"/>
      <c r="P174" s="13"/>
      <c r="Q174" s="13"/>
      <c r="R174" s="13"/>
      <c r="S174" s="11" t="str">
        <f>IF(N174&lt;&gt;"Yes","",IF(COUNTBLANK(P174:R174)=3,"",IF(COUNTIF(P174:R174,"No")&gt;0,"EXCLUDE","INCLUDE")))</f>
        <v/>
      </c>
      <c r="T174" s="11" t="str">
        <f>IF(S174&lt;&gt;"EXCLUDE","",IF(P174="No","Digital Twin mentioned only, not the subject",IF(Q174="No","No Design for Safety/Quality in full text",IF(R174="No","Methodology not codable",""))))</f>
        <v/>
      </c>
      <c r="U174" s="14"/>
      <c r="V174" s="14"/>
      <c r="W174" s="14"/>
      <c r="X174" s="14"/>
      <c r="Y174" s="11" t="str">
        <f>IF(SUM(V174:X174)=0,"",IF(SUM(V174:X174)&gt;=2,"Multi","Single"))</f>
        <v/>
      </c>
      <c r="Z174" s="14"/>
      <c r="AA174" s="14"/>
      <c r="AB174" s="14"/>
      <c r="AC174" s="14"/>
      <c r="AD174" s="14"/>
      <c r="AE174" s="14"/>
      <c r="AF174" s="14"/>
      <c r="AG174" s="15"/>
    </row>
    <row r="175" spans="1:33">
      <c r="A175" s="8" t="s">
        <v>299</v>
      </c>
      <c r="B175" s="9"/>
      <c r="C175" s="8"/>
      <c r="D175" s="9"/>
      <c r="E175" s="9"/>
      <c r="F175" s="8"/>
      <c r="G175" s="10"/>
      <c r="H175" s="10"/>
      <c r="I175" s="10"/>
      <c r="J175" s="10"/>
      <c r="K175" s="10"/>
      <c r="L175" s="11" t="str">
        <f>IF(COUNTBLANK(G175:K175)=5,"",IF(COUNTIF(G175:K175,"No")&gt;0,"EXCLUDE","INCLUDE"))</f>
        <v/>
      </c>
      <c r="M175" s="11" t="str">
        <f>IF(L175&lt;&gt;"EXCLUDE","",IF(G175="No","Wrong domain (non-AECO)",IF(H175="No","Digital Twin not core / buzzword",IF(I175="No","No Design for Safety/Quality/PtD",IF(J175="No","Wrong publication type",IF(K175="No","Non-English",""))))))</f>
        <v/>
      </c>
      <c r="N175" s="12"/>
      <c r="O175" s="12"/>
      <c r="P175" s="13"/>
      <c r="Q175" s="13"/>
      <c r="R175" s="13"/>
      <c r="S175" s="11" t="str">
        <f>IF(N175&lt;&gt;"Yes","",IF(COUNTBLANK(P175:R175)=3,"",IF(COUNTIF(P175:R175,"No")&gt;0,"EXCLUDE","INCLUDE")))</f>
        <v/>
      </c>
      <c r="T175" s="11" t="str">
        <f>IF(S175&lt;&gt;"EXCLUDE","",IF(P175="No","Digital Twin mentioned only, not the subject",IF(Q175="No","No Design for Safety/Quality in full text",IF(R175="No","Methodology not codable",""))))</f>
        <v/>
      </c>
      <c r="U175" s="14"/>
      <c r="V175" s="14"/>
      <c r="W175" s="14"/>
      <c r="X175" s="14"/>
      <c r="Y175" s="11" t="str">
        <f>IF(SUM(V175:X175)=0,"",IF(SUM(V175:X175)&gt;=2,"Multi","Single"))</f>
        <v/>
      </c>
      <c r="Z175" s="14"/>
      <c r="AA175" s="14"/>
      <c r="AB175" s="14"/>
      <c r="AC175" s="14"/>
      <c r="AD175" s="14"/>
      <c r="AE175" s="14"/>
      <c r="AF175" s="14"/>
      <c r="AG175" s="15"/>
    </row>
    <row r="176" spans="1:33">
      <c r="A176" s="8" t="s">
        <v>300</v>
      </c>
      <c r="B176" s="9"/>
      <c r="C176" s="8"/>
      <c r="D176" s="9"/>
      <c r="E176" s="9"/>
      <c r="F176" s="8"/>
      <c r="G176" s="10"/>
      <c r="H176" s="10"/>
      <c r="I176" s="10"/>
      <c r="J176" s="10"/>
      <c r="K176" s="10"/>
      <c r="L176" s="11" t="str">
        <f>IF(COUNTBLANK(G176:K176)=5,"",IF(COUNTIF(G176:K176,"No")&gt;0,"EXCLUDE","INCLUDE"))</f>
        <v/>
      </c>
      <c r="M176" s="11" t="str">
        <f>IF(L176&lt;&gt;"EXCLUDE","",IF(G176="No","Wrong domain (non-AECO)",IF(H176="No","Digital Twin not core / buzzword",IF(I176="No","No Design for Safety/Quality/PtD",IF(J176="No","Wrong publication type",IF(K176="No","Non-English",""))))))</f>
        <v/>
      </c>
      <c r="N176" s="12"/>
      <c r="O176" s="12"/>
      <c r="P176" s="13"/>
      <c r="Q176" s="13"/>
      <c r="R176" s="13"/>
      <c r="S176" s="11" t="str">
        <f>IF(N176&lt;&gt;"Yes","",IF(COUNTBLANK(P176:R176)=3,"",IF(COUNTIF(P176:R176,"No")&gt;0,"EXCLUDE","INCLUDE")))</f>
        <v/>
      </c>
      <c r="T176" s="11" t="str">
        <f>IF(S176&lt;&gt;"EXCLUDE","",IF(P176="No","Digital Twin mentioned only, not the subject",IF(Q176="No","No Design for Safety/Quality in full text",IF(R176="No","Methodology not codable",""))))</f>
        <v/>
      </c>
      <c r="U176" s="14"/>
      <c r="V176" s="14"/>
      <c r="W176" s="14"/>
      <c r="X176" s="14"/>
      <c r="Y176" s="11" t="str">
        <f>IF(SUM(V176:X176)=0,"",IF(SUM(V176:X176)&gt;=2,"Multi","Single"))</f>
        <v/>
      </c>
      <c r="Z176" s="14"/>
      <c r="AA176" s="14"/>
      <c r="AB176" s="14"/>
      <c r="AC176" s="14"/>
      <c r="AD176" s="14"/>
      <c r="AE176" s="14"/>
      <c r="AF176" s="14"/>
      <c r="AG176" s="15"/>
    </row>
    <row r="177" spans="1:33">
      <c r="A177" s="8" t="s">
        <v>301</v>
      </c>
      <c r="B177" s="9"/>
      <c r="C177" s="8"/>
      <c r="D177" s="9"/>
      <c r="E177" s="9"/>
      <c r="F177" s="8"/>
      <c r="G177" s="10"/>
      <c r="H177" s="10"/>
      <c r="I177" s="10"/>
      <c r="J177" s="10"/>
      <c r="K177" s="10"/>
      <c r="L177" s="11" t="str">
        <f>IF(COUNTBLANK(G177:K177)=5,"",IF(COUNTIF(G177:K177,"No")&gt;0,"EXCLUDE","INCLUDE"))</f>
        <v/>
      </c>
      <c r="M177" s="11" t="str">
        <f>IF(L177&lt;&gt;"EXCLUDE","",IF(G177="No","Wrong domain (non-AECO)",IF(H177="No","Digital Twin not core / buzzword",IF(I177="No","No Design for Safety/Quality/PtD",IF(J177="No","Wrong publication type",IF(K177="No","Non-English",""))))))</f>
        <v/>
      </c>
      <c r="N177" s="12"/>
      <c r="O177" s="12"/>
      <c r="P177" s="13"/>
      <c r="Q177" s="13"/>
      <c r="R177" s="13"/>
      <c r="S177" s="11" t="str">
        <f>IF(N177&lt;&gt;"Yes","",IF(COUNTBLANK(P177:R177)=3,"",IF(COUNTIF(P177:R177,"No")&gt;0,"EXCLUDE","INCLUDE")))</f>
        <v/>
      </c>
      <c r="T177" s="11" t="str">
        <f>IF(S177&lt;&gt;"EXCLUDE","",IF(P177="No","Digital Twin mentioned only, not the subject",IF(Q177="No","No Design for Safety/Quality in full text",IF(R177="No","Methodology not codable",""))))</f>
        <v/>
      </c>
      <c r="U177" s="14"/>
      <c r="V177" s="14"/>
      <c r="W177" s="14"/>
      <c r="X177" s="14"/>
      <c r="Y177" s="11" t="str">
        <f>IF(SUM(V177:X177)=0,"",IF(SUM(V177:X177)&gt;=2,"Multi","Single"))</f>
        <v/>
      </c>
      <c r="Z177" s="14"/>
      <c r="AA177" s="14"/>
      <c r="AB177" s="14"/>
      <c r="AC177" s="14"/>
      <c r="AD177" s="14"/>
      <c r="AE177" s="14"/>
      <c r="AF177" s="14"/>
      <c r="AG177" s="15"/>
    </row>
    <row r="178" spans="1:33">
      <c r="A178" s="8" t="s">
        <v>302</v>
      </c>
      <c r="B178" s="9"/>
      <c r="C178" s="8"/>
      <c r="D178" s="9"/>
      <c r="E178" s="9"/>
      <c r="F178" s="8"/>
      <c r="G178" s="10"/>
      <c r="H178" s="10"/>
      <c r="I178" s="10"/>
      <c r="J178" s="10"/>
      <c r="K178" s="10"/>
      <c r="L178" s="11" t="str">
        <f>IF(COUNTBLANK(G178:K178)=5,"",IF(COUNTIF(G178:K178,"No")&gt;0,"EXCLUDE","INCLUDE"))</f>
        <v/>
      </c>
      <c r="M178" s="11" t="str">
        <f>IF(L178&lt;&gt;"EXCLUDE","",IF(G178="No","Wrong domain (non-AECO)",IF(H178="No","Digital Twin not core / buzzword",IF(I178="No","No Design for Safety/Quality/PtD",IF(J178="No","Wrong publication type",IF(K178="No","Non-English",""))))))</f>
        <v/>
      </c>
      <c r="N178" s="12"/>
      <c r="O178" s="12"/>
      <c r="P178" s="13"/>
      <c r="Q178" s="13"/>
      <c r="R178" s="13"/>
      <c r="S178" s="11" t="str">
        <f>IF(N178&lt;&gt;"Yes","",IF(COUNTBLANK(P178:R178)=3,"",IF(COUNTIF(P178:R178,"No")&gt;0,"EXCLUDE","INCLUDE")))</f>
        <v/>
      </c>
      <c r="T178" s="11" t="str">
        <f>IF(S178&lt;&gt;"EXCLUDE","",IF(P178="No","Digital Twin mentioned only, not the subject",IF(Q178="No","No Design for Safety/Quality in full text",IF(R178="No","Methodology not codable",""))))</f>
        <v/>
      </c>
      <c r="U178" s="14"/>
      <c r="V178" s="14"/>
      <c r="W178" s="14"/>
      <c r="X178" s="14"/>
      <c r="Y178" s="11" t="str">
        <f>IF(SUM(V178:X178)=0,"",IF(SUM(V178:X178)&gt;=2,"Multi","Single"))</f>
        <v/>
      </c>
      <c r="Z178" s="14"/>
      <c r="AA178" s="14"/>
      <c r="AB178" s="14"/>
      <c r="AC178" s="14"/>
      <c r="AD178" s="14"/>
      <c r="AE178" s="14"/>
      <c r="AF178" s="14"/>
      <c r="AG178" s="15"/>
    </row>
    <row r="179" spans="1:33">
      <c r="A179" s="8" t="s">
        <v>303</v>
      </c>
      <c r="B179" s="9"/>
      <c r="C179" s="8"/>
      <c r="D179" s="9"/>
      <c r="E179" s="9"/>
      <c r="F179" s="8"/>
      <c r="G179" s="10"/>
      <c r="H179" s="10"/>
      <c r="I179" s="10"/>
      <c r="J179" s="10"/>
      <c r="K179" s="10"/>
      <c r="L179" s="11" t="str">
        <f>IF(COUNTBLANK(G179:K179)=5,"",IF(COUNTIF(G179:K179,"No")&gt;0,"EXCLUDE","INCLUDE"))</f>
        <v/>
      </c>
      <c r="M179" s="11" t="str">
        <f>IF(L179&lt;&gt;"EXCLUDE","",IF(G179="No","Wrong domain (non-AECO)",IF(H179="No","Digital Twin not core / buzzword",IF(I179="No","No Design for Safety/Quality/PtD",IF(J179="No","Wrong publication type",IF(K179="No","Non-English",""))))))</f>
        <v/>
      </c>
      <c r="N179" s="12"/>
      <c r="O179" s="12"/>
      <c r="P179" s="13"/>
      <c r="Q179" s="13"/>
      <c r="R179" s="13"/>
      <c r="S179" s="11" t="str">
        <f>IF(N179&lt;&gt;"Yes","",IF(COUNTBLANK(P179:R179)=3,"",IF(COUNTIF(P179:R179,"No")&gt;0,"EXCLUDE","INCLUDE")))</f>
        <v/>
      </c>
      <c r="T179" s="11" t="str">
        <f>IF(S179&lt;&gt;"EXCLUDE","",IF(P179="No","Digital Twin mentioned only, not the subject",IF(Q179="No","No Design for Safety/Quality in full text",IF(R179="No","Methodology not codable",""))))</f>
        <v/>
      </c>
      <c r="U179" s="14"/>
      <c r="V179" s="14"/>
      <c r="W179" s="14"/>
      <c r="X179" s="14"/>
      <c r="Y179" s="11" t="str">
        <f>IF(SUM(V179:X179)=0,"",IF(SUM(V179:X179)&gt;=2,"Multi","Single"))</f>
        <v/>
      </c>
      <c r="Z179" s="14"/>
      <c r="AA179" s="14"/>
      <c r="AB179" s="14"/>
      <c r="AC179" s="14"/>
      <c r="AD179" s="14"/>
      <c r="AE179" s="14"/>
      <c r="AF179" s="14"/>
      <c r="AG179" s="15"/>
    </row>
    <row r="180" spans="1:33">
      <c r="A180" s="8" t="s">
        <v>304</v>
      </c>
      <c r="B180" s="9"/>
      <c r="C180" s="8"/>
      <c r="D180" s="9"/>
      <c r="E180" s="9"/>
      <c r="F180" s="8"/>
      <c r="G180" s="10"/>
      <c r="H180" s="10"/>
      <c r="I180" s="10"/>
      <c r="J180" s="10"/>
      <c r="K180" s="10"/>
      <c r="L180" s="11" t="str">
        <f>IF(COUNTBLANK(G180:K180)=5,"",IF(COUNTIF(G180:K180,"No")&gt;0,"EXCLUDE","INCLUDE"))</f>
        <v/>
      </c>
      <c r="M180" s="11" t="str">
        <f>IF(L180&lt;&gt;"EXCLUDE","",IF(G180="No","Wrong domain (non-AECO)",IF(H180="No","Digital Twin not core / buzzword",IF(I180="No","No Design for Safety/Quality/PtD",IF(J180="No","Wrong publication type",IF(K180="No","Non-English",""))))))</f>
        <v/>
      </c>
      <c r="N180" s="12"/>
      <c r="O180" s="12"/>
      <c r="P180" s="13"/>
      <c r="Q180" s="13"/>
      <c r="R180" s="13"/>
      <c r="S180" s="11" t="str">
        <f>IF(N180&lt;&gt;"Yes","",IF(COUNTBLANK(P180:R180)=3,"",IF(COUNTIF(P180:R180,"No")&gt;0,"EXCLUDE","INCLUDE")))</f>
        <v/>
      </c>
      <c r="T180" s="11" t="str">
        <f>IF(S180&lt;&gt;"EXCLUDE","",IF(P180="No","Digital Twin mentioned only, not the subject",IF(Q180="No","No Design for Safety/Quality in full text",IF(R180="No","Methodology not codable",""))))</f>
        <v/>
      </c>
      <c r="U180" s="14"/>
      <c r="V180" s="14"/>
      <c r="W180" s="14"/>
      <c r="X180" s="14"/>
      <c r="Y180" s="11" t="str">
        <f>IF(SUM(V180:X180)=0,"",IF(SUM(V180:X180)&gt;=2,"Multi","Single"))</f>
        <v/>
      </c>
      <c r="Z180" s="14"/>
      <c r="AA180" s="14"/>
      <c r="AB180" s="14"/>
      <c r="AC180" s="14"/>
      <c r="AD180" s="14"/>
      <c r="AE180" s="14"/>
      <c r="AF180" s="14"/>
      <c r="AG180" s="15"/>
    </row>
    <row r="181" spans="1:33">
      <c r="A181" s="8" t="s">
        <v>305</v>
      </c>
      <c r="B181" s="9"/>
      <c r="C181" s="8"/>
      <c r="D181" s="9"/>
      <c r="E181" s="9"/>
      <c r="F181" s="8"/>
      <c r="G181" s="10"/>
      <c r="H181" s="10"/>
      <c r="I181" s="10"/>
      <c r="J181" s="10"/>
      <c r="K181" s="10"/>
      <c r="L181" s="11" t="str">
        <f>IF(COUNTBLANK(G181:K181)=5,"",IF(COUNTIF(G181:K181,"No")&gt;0,"EXCLUDE","INCLUDE"))</f>
        <v/>
      </c>
      <c r="M181" s="11" t="str">
        <f>IF(L181&lt;&gt;"EXCLUDE","",IF(G181="No","Wrong domain (non-AECO)",IF(H181="No","Digital Twin not core / buzzword",IF(I181="No","No Design for Safety/Quality/PtD",IF(J181="No","Wrong publication type",IF(K181="No","Non-English",""))))))</f>
        <v/>
      </c>
      <c r="N181" s="12"/>
      <c r="O181" s="12"/>
      <c r="P181" s="13"/>
      <c r="Q181" s="13"/>
      <c r="R181" s="13"/>
      <c r="S181" s="11" t="str">
        <f>IF(N181&lt;&gt;"Yes","",IF(COUNTBLANK(P181:R181)=3,"",IF(COUNTIF(P181:R181,"No")&gt;0,"EXCLUDE","INCLUDE")))</f>
        <v/>
      </c>
      <c r="T181" s="11" t="str">
        <f>IF(S181&lt;&gt;"EXCLUDE","",IF(P181="No","Digital Twin mentioned only, not the subject",IF(Q181="No","No Design for Safety/Quality in full text",IF(R181="No","Methodology not codable",""))))</f>
        <v/>
      </c>
      <c r="U181" s="14"/>
      <c r="V181" s="14"/>
      <c r="W181" s="14"/>
      <c r="X181" s="14"/>
      <c r="Y181" s="11" t="str">
        <f>IF(SUM(V181:X181)=0,"",IF(SUM(V181:X181)&gt;=2,"Multi","Single"))</f>
        <v/>
      </c>
      <c r="Z181" s="14"/>
      <c r="AA181" s="14"/>
      <c r="AB181" s="14"/>
      <c r="AC181" s="14"/>
      <c r="AD181" s="14"/>
      <c r="AE181" s="14"/>
      <c r="AF181" s="14"/>
      <c r="AG181" s="15"/>
    </row>
    <row r="182" spans="1:33">
      <c r="A182" s="8" t="s">
        <v>306</v>
      </c>
      <c r="B182" s="9"/>
      <c r="C182" s="8"/>
      <c r="D182" s="9"/>
      <c r="E182" s="9"/>
      <c r="F182" s="8"/>
      <c r="G182" s="10"/>
      <c r="H182" s="10"/>
      <c r="I182" s="10"/>
      <c r="J182" s="10"/>
      <c r="K182" s="10"/>
      <c r="L182" s="11" t="str">
        <f>IF(COUNTBLANK(G182:K182)=5,"",IF(COUNTIF(G182:K182,"No")&gt;0,"EXCLUDE","INCLUDE"))</f>
        <v/>
      </c>
      <c r="M182" s="11" t="str">
        <f>IF(L182&lt;&gt;"EXCLUDE","",IF(G182="No","Wrong domain (non-AECO)",IF(H182="No","Digital Twin not core / buzzword",IF(I182="No","No Design for Safety/Quality/PtD",IF(J182="No","Wrong publication type",IF(K182="No","Non-English",""))))))</f>
        <v/>
      </c>
      <c r="N182" s="12"/>
      <c r="O182" s="12"/>
      <c r="P182" s="13"/>
      <c r="Q182" s="13"/>
      <c r="R182" s="13"/>
      <c r="S182" s="11" t="str">
        <f>IF(N182&lt;&gt;"Yes","",IF(COUNTBLANK(P182:R182)=3,"",IF(COUNTIF(P182:R182,"No")&gt;0,"EXCLUDE","INCLUDE")))</f>
        <v/>
      </c>
      <c r="T182" s="11" t="str">
        <f>IF(S182&lt;&gt;"EXCLUDE","",IF(P182="No","Digital Twin mentioned only, not the subject",IF(Q182="No","No Design for Safety/Quality in full text",IF(R182="No","Methodology not codable",""))))</f>
        <v/>
      </c>
      <c r="U182" s="14"/>
      <c r="V182" s="14"/>
      <c r="W182" s="14"/>
      <c r="X182" s="14"/>
      <c r="Y182" s="11" t="str">
        <f>IF(SUM(V182:X182)=0,"",IF(SUM(V182:X182)&gt;=2,"Multi","Single"))</f>
        <v/>
      </c>
      <c r="Z182" s="14"/>
      <c r="AA182" s="14"/>
      <c r="AB182" s="14"/>
      <c r="AC182" s="14"/>
      <c r="AD182" s="14"/>
      <c r="AE182" s="14"/>
      <c r="AF182" s="14"/>
      <c r="AG182" s="15"/>
    </row>
    <row r="183" spans="1:33">
      <c r="A183" s="8" t="s">
        <v>307</v>
      </c>
      <c r="B183" s="9"/>
      <c r="C183" s="8"/>
      <c r="D183" s="9"/>
      <c r="E183" s="9"/>
      <c r="F183" s="8"/>
      <c r="G183" s="10"/>
      <c r="H183" s="10"/>
      <c r="I183" s="10"/>
      <c r="J183" s="10"/>
      <c r="K183" s="10"/>
      <c r="L183" s="11" t="str">
        <f>IF(COUNTBLANK(G183:K183)=5,"",IF(COUNTIF(G183:K183,"No")&gt;0,"EXCLUDE","INCLUDE"))</f>
        <v/>
      </c>
      <c r="M183" s="11" t="str">
        <f>IF(L183&lt;&gt;"EXCLUDE","",IF(G183="No","Wrong domain (non-AECO)",IF(H183="No","Digital Twin not core / buzzword",IF(I183="No","No Design for Safety/Quality/PtD",IF(J183="No","Wrong publication type",IF(K183="No","Non-English",""))))))</f>
        <v/>
      </c>
      <c r="N183" s="12"/>
      <c r="O183" s="12"/>
      <c r="P183" s="13"/>
      <c r="Q183" s="13"/>
      <c r="R183" s="13"/>
      <c r="S183" s="11" t="str">
        <f>IF(N183&lt;&gt;"Yes","",IF(COUNTBLANK(P183:R183)=3,"",IF(COUNTIF(P183:R183,"No")&gt;0,"EXCLUDE","INCLUDE")))</f>
        <v/>
      </c>
      <c r="T183" s="11" t="str">
        <f>IF(S183&lt;&gt;"EXCLUDE","",IF(P183="No","Digital Twin mentioned only, not the subject",IF(Q183="No","No Design for Safety/Quality in full text",IF(R183="No","Methodology not codable",""))))</f>
        <v/>
      </c>
      <c r="U183" s="14"/>
      <c r="V183" s="14"/>
      <c r="W183" s="14"/>
      <c r="X183" s="14"/>
      <c r="Y183" s="11" t="str">
        <f>IF(SUM(V183:X183)=0,"",IF(SUM(V183:X183)&gt;=2,"Multi","Single"))</f>
        <v/>
      </c>
      <c r="Z183" s="14"/>
      <c r="AA183" s="14"/>
      <c r="AB183" s="14"/>
      <c r="AC183" s="14"/>
      <c r="AD183" s="14"/>
      <c r="AE183" s="14"/>
      <c r="AF183" s="14"/>
      <c r="AG183" s="15"/>
    </row>
    <row r="184" spans="1:33">
      <c r="A184" s="8" t="s">
        <v>308</v>
      </c>
      <c r="B184" s="9"/>
      <c r="C184" s="8"/>
      <c r="D184" s="9"/>
      <c r="E184" s="9"/>
      <c r="F184" s="8"/>
      <c r="G184" s="10"/>
      <c r="H184" s="10"/>
      <c r="I184" s="10"/>
      <c r="J184" s="10"/>
      <c r="K184" s="10"/>
      <c r="L184" s="11" t="str">
        <f>IF(COUNTBLANK(G184:K184)=5,"",IF(COUNTIF(G184:K184,"No")&gt;0,"EXCLUDE","INCLUDE"))</f>
        <v/>
      </c>
      <c r="M184" s="11" t="str">
        <f>IF(L184&lt;&gt;"EXCLUDE","",IF(G184="No","Wrong domain (non-AECO)",IF(H184="No","Digital Twin not core / buzzword",IF(I184="No","No Design for Safety/Quality/PtD",IF(J184="No","Wrong publication type",IF(K184="No","Non-English",""))))))</f>
        <v/>
      </c>
      <c r="N184" s="12"/>
      <c r="O184" s="12"/>
      <c r="P184" s="13"/>
      <c r="Q184" s="13"/>
      <c r="R184" s="13"/>
      <c r="S184" s="11" t="str">
        <f>IF(N184&lt;&gt;"Yes","",IF(COUNTBLANK(P184:R184)=3,"",IF(COUNTIF(P184:R184,"No")&gt;0,"EXCLUDE","INCLUDE")))</f>
        <v/>
      </c>
      <c r="T184" s="11" t="str">
        <f>IF(S184&lt;&gt;"EXCLUDE","",IF(P184="No","Digital Twin mentioned only, not the subject",IF(Q184="No","No Design for Safety/Quality in full text",IF(R184="No","Methodology not codable",""))))</f>
        <v/>
      </c>
      <c r="U184" s="14"/>
      <c r="V184" s="14"/>
      <c r="W184" s="14"/>
      <c r="X184" s="14"/>
      <c r="Y184" s="11" t="str">
        <f>IF(SUM(V184:X184)=0,"",IF(SUM(V184:X184)&gt;=2,"Multi","Single"))</f>
        <v/>
      </c>
      <c r="Z184" s="14"/>
      <c r="AA184" s="14"/>
      <c r="AB184" s="14"/>
      <c r="AC184" s="14"/>
      <c r="AD184" s="14"/>
      <c r="AE184" s="14"/>
      <c r="AF184" s="14"/>
      <c r="AG184" s="15"/>
    </row>
    <row r="185" spans="1:33">
      <c r="A185" s="8" t="s">
        <v>309</v>
      </c>
      <c r="B185" s="9"/>
      <c r="C185" s="8"/>
      <c r="D185" s="9"/>
      <c r="E185" s="9"/>
      <c r="F185" s="8"/>
      <c r="G185" s="10"/>
      <c r="H185" s="10"/>
      <c r="I185" s="10"/>
      <c r="J185" s="10"/>
      <c r="K185" s="10"/>
      <c r="L185" s="11" t="str">
        <f>IF(COUNTBLANK(G185:K185)=5,"",IF(COUNTIF(G185:K185,"No")&gt;0,"EXCLUDE","INCLUDE"))</f>
        <v/>
      </c>
      <c r="M185" s="11" t="str">
        <f>IF(L185&lt;&gt;"EXCLUDE","",IF(G185="No","Wrong domain (non-AECO)",IF(H185="No","Digital Twin not core / buzzword",IF(I185="No","No Design for Safety/Quality/PtD",IF(J185="No","Wrong publication type",IF(K185="No","Non-English",""))))))</f>
        <v/>
      </c>
      <c r="N185" s="12"/>
      <c r="O185" s="12"/>
      <c r="P185" s="13"/>
      <c r="Q185" s="13"/>
      <c r="R185" s="13"/>
      <c r="S185" s="11" t="str">
        <f>IF(N185&lt;&gt;"Yes","",IF(COUNTBLANK(P185:R185)=3,"",IF(COUNTIF(P185:R185,"No")&gt;0,"EXCLUDE","INCLUDE")))</f>
        <v/>
      </c>
      <c r="T185" s="11" t="str">
        <f>IF(S185&lt;&gt;"EXCLUDE","",IF(P185="No","Digital Twin mentioned only, not the subject",IF(Q185="No","No Design for Safety/Quality in full text",IF(R185="No","Methodology not codable",""))))</f>
        <v/>
      </c>
      <c r="U185" s="14"/>
      <c r="V185" s="14"/>
      <c r="W185" s="14"/>
      <c r="X185" s="14"/>
      <c r="Y185" s="11" t="str">
        <f>IF(SUM(V185:X185)=0,"",IF(SUM(V185:X185)&gt;=2,"Multi","Single"))</f>
        <v/>
      </c>
      <c r="Z185" s="14"/>
      <c r="AA185" s="14"/>
      <c r="AB185" s="14"/>
      <c r="AC185" s="14"/>
      <c r="AD185" s="14"/>
      <c r="AE185" s="14"/>
      <c r="AF185" s="14"/>
      <c r="AG185" s="15"/>
    </row>
    <row r="186" spans="1:33">
      <c r="A186" s="8" t="s">
        <v>310</v>
      </c>
      <c r="B186" s="9"/>
      <c r="C186" s="8"/>
      <c r="D186" s="9"/>
      <c r="E186" s="9"/>
      <c r="F186" s="8"/>
      <c r="G186" s="10"/>
      <c r="H186" s="10"/>
      <c r="I186" s="10"/>
      <c r="J186" s="10"/>
      <c r="K186" s="10"/>
      <c r="L186" s="11" t="str">
        <f>IF(COUNTBLANK(G186:K186)=5,"",IF(COUNTIF(G186:K186,"No")&gt;0,"EXCLUDE","INCLUDE"))</f>
        <v/>
      </c>
      <c r="M186" s="11" t="str">
        <f>IF(L186&lt;&gt;"EXCLUDE","",IF(G186="No","Wrong domain (non-AECO)",IF(H186="No","Digital Twin not core / buzzword",IF(I186="No","No Design for Safety/Quality/PtD",IF(J186="No","Wrong publication type",IF(K186="No","Non-English",""))))))</f>
        <v/>
      </c>
      <c r="N186" s="12"/>
      <c r="O186" s="12"/>
      <c r="P186" s="13"/>
      <c r="Q186" s="13"/>
      <c r="R186" s="13"/>
      <c r="S186" s="11" t="str">
        <f>IF(N186&lt;&gt;"Yes","",IF(COUNTBLANK(P186:R186)=3,"",IF(COUNTIF(P186:R186,"No")&gt;0,"EXCLUDE","INCLUDE")))</f>
        <v/>
      </c>
      <c r="T186" s="11" t="str">
        <f>IF(S186&lt;&gt;"EXCLUDE","",IF(P186="No","Digital Twin mentioned only, not the subject",IF(Q186="No","No Design for Safety/Quality in full text",IF(R186="No","Methodology not codable",""))))</f>
        <v/>
      </c>
      <c r="U186" s="14"/>
      <c r="V186" s="14"/>
      <c r="W186" s="14"/>
      <c r="X186" s="14"/>
      <c r="Y186" s="11" t="str">
        <f>IF(SUM(V186:X186)=0,"",IF(SUM(V186:X186)&gt;=2,"Multi","Single"))</f>
        <v/>
      </c>
      <c r="Z186" s="14"/>
      <c r="AA186" s="14"/>
      <c r="AB186" s="14"/>
      <c r="AC186" s="14"/>
      <c r="AD186" s="14"/>
      <c r="AE186" s="14"/>
      <c r="AF186" s="14"/>
      <c r="AG186" s="15"/>
    </row>
    <row r="187" spans="1:33">
      <c r="A187" s="8" t="s">
        <v>311</v>
      </c>
      <c r="B187" s="9"/>
      <c r="C187" s="8"/>
      <c r="D187" s="9"/>
      <c r="E187" s="9"/>
      <c r="F187" s="8"/>
      <c r="G187" s="10"/>
      <c r="H187" s="10"/>
      <c r="I187" s="10"/>
      <c r="J187" s="10"/>
      <c r="K187" s="10"/>
      <c r="L187" s="11" t="str">
        <f>IF(COUNTBLANK(G187:K187)=5,"",IF(COUNTIF(G187:K187,"No")&gt;0,"EXCLUDE","INCLUDE"))</f>
        <v/>
      </c>
      <c r="M187" s="11" t="str">
        <f>IF(L187&lt;&gt;"EXCLUDE","",IF(G187="No","Wrong domain (non-AECO)",IF(H187="No","Digital Twin not core / buzzword",IF(I187="No","No Design for Safety/Quality/PtD",IF(J187="No","Wrong publication type",IF(K187="No","Non-English",""))))))</f>
        <v/>
      </c>
      <c r="N187" s="12"/>
      <c r="O187" s="12"/>
      <c r="P187" s="13"/>
      <c r="Q187" s="13"/>
      <c r="R187" s="13"/>
      <c r="S187" s="11" t="str">
        <f>IF(N187&lt;&gt;"Yes","",IF(COUNTBLANK(P187:R187)=3,"",IF(COUNTIF(P187:R187,"No")&gt;0,"EXCLUDE","INCLUDE")))</f>
        <v/>
      </c>
      <c r="T187" s="11" t="str">
        <f>IF(S187&lt;&gt;"EXCLUDE","",IF(P187="No","Digital Twin mentioned only, not the subject",IF(Q187="No","No Design for Safety/Quality in full text",IF(R187="No","Methodology not codable",""))))</f>
        <v/>
      </c>
      <c r="U187" s="14"/>
      <c r="V187" s="14"/>
      <c r="W187" s="14"/>
      <c r="X187" s="14"/>
      <c r="Y187" s="11" t="str">
        <f>IF(SUM(V187:X187)=0,"",IF(SUM(V187:X187)&gt;=2,"Multi","Single"))</f>
        <v/>
      </c>
      <c r="Z187" s="14"/>
      <c r="AA187" s="14"/>
      <c r="AB187" s="14"/>
      <c r="AC187" s="14"/>
      <c r="AD187" s="14"/>
      <c r="AE187" s="14"/>
      <c r="AF187" s="14"/>
      <c r="AG187" s="15"/>
    </row>
    <row r="188" spans="1:33">
      <c r="A188" s="8" t="s">
        <v>312</v>
      </c>
      <c r="B188" s="9"/>
      <c r="C188" s="8"/>
      <c r="D188" s="9"/>
      <c r="E188" s="9"/>
      <c r="F188" s="8"/>
      <c r="G188" s="10"/>
      <c r="H188" s="10"/>
      <c r="I188" s="10"/>
      <c r="J188" s="10"/>
      <c r="K188" s="10"/>
      <c r="L188" s="11" t="str">
        <f>IF(COUNTBLANK(G188:K188)=5,"",IF(COUNTIF(G188:K188,"No")&gt;0,"EXCLUDE","INCLUDE"))</f>
        <v/>
      </c>
      <c r="M188" s="11" t="str">
        <f>IF(L188&lt;&gt;"EXCLUDE","",IF(G188="No","Wrong domain (non-AECO)",IF(H188="No","Digital Twin not core / buzzword",IF(I188="No","No Design for Safety/Quality/PtD",IF(J188="No","Wrong publication type",IF(K188="No","Non-English",""))))))</f>
        <v/>
      </c>
      <c r="N188" s="12"/>
      <c r="O188" s="12"/>
      <c r="P188" s="13"/>
      <c r="Q188" s="13"/>
      <c r="R188" s="13"/>
      <c r="S188" s="11" t="str">
        <f>IF(N188&lt;&gt;"Yes","",IF(COUNTBLANK(P188:R188)=3,"",IF(COUNTIF(P188:R188,"No")&gt;0,"EXCLUDE","INCLUDE")))</f>
        <v/>
      </c>
      <c r="T188" s="11" t="str">
        <f>IF(S188&lt;&gt;"EXCLUDE","",IF(P188="No","Digital Twin mentioned only, not the subject",IF(Q188="No","No Design for Safety/Quality in full text",IF(R188="No","Methodology not codable",""))))</f>
        <v/>
      </c>
      <c r="U188" s="14"/>
      <c r="V188" s="14"/>
      <c r="W188" s="14"/>
      <c r="X188" s="14"/>
      <c r="Y188" s="11" t="str">
        <f>IF(SUM(V188:X188)=0,"",IF(SUM(V188:X188)&gt;=2,"Multi","Single"))</f>
        <v/>
      </c>
      <c r="Z188" s="14"/>
      <c r="AA188" s="14"/>
      <c r="AB188" s="14"/>
      <c r="AC188" s="14"/>
      <c r="AD188" s="14"/>
      <c r="AE188" s="14"/>
      <c r="AF188" s="14"/>
      <c r="AG188" s="15"/>
    </row>
    <row r="189" spans="1:33">
      <c r="A189" s="8" t="s">
        <v>313</v>
      </c>
      <c r="B189" s="9"/>
      <c r="C189" s="8"/>
      <c r="D189" s="9"/>
      <c r="E189" s="9"/>
      <c r="F189" s="8"/>
      <c r="G189" s="10"/>
      <c r="H189" s="10"/>
      <c r="I189" s="10"/>
      <c r="J189" s="10"/>
      <c r="K189" s="10"/>
      <c r="L189" s="11" t="str">
        <f>IF(COUNTBLANK(G189:K189)=5,"",IF(COUNTIF(G189:K189,"No")&gt;0,"EXCLUDE","INCLUDE"))</f>
        <v/>
      </c>
      <c r="M189" s="11" t="str">
        <f>IF(L189&lt;&gt;"EXCLUDE","",IF(G189="No","Wrong domain (non-AECO)",IF(H189="No","Digital Twin not core / buzzword",IF(I189="No","No Design for Safety/Quality/PtD",IF(J189="No","Wrong publication type",IF(K189="No","Non-English",""))))))</f>
        <v/>
      </c>
      <c r="N189" s="12"/>
      <c r="O189" s="12"/>
      <c r="P189" s="13"/>
      <c r="Q189" s="13"/>
      <c r="R189" s="13"/>
      <c r="S189" s="11" t="str">
        <f>IF(N189&lt;&gt;"Yes","",IF(COUNTBLANK(P189:R189)=3,"",IF(COUNTIF(P189:R189,"No")&gt;0,"EXCLUDE","INCLUDE")))</f>
        <v/>
      </c>
      <c r="T189" s="11" t="str">
        <f>IF(S189&lt;&gt;"EXCLUDE","",IF(P189="No","Digital Twin mentioned only, not the subject",IF(Q189="No","No Design for Safety/Quality in full text",IF(R189="No","Methodology not codable",""))))</f>
        <v/>
      </c>
      <c r="U189" s="14"/>
      <c r="V189" s="14"/>
      <c r="W189" s="14"/>
      <c r="X189" s="14"/>
      <c r="Y189" s="11" t="str">
        <f>IF(SUM(V189:X189)=0,"",IF(SUM(V189:X189)&gt;=2,"Multi","Single"))</f>
        <v/>
      </c>
      <c r="Z189" s="14"/>
      <c r="AA189" s="14"/>
      <c r="AB189" s="14"/>
      <c r="AC189" s="14"/>
      <c r="AD189" s="14"/>
      <c r="AE189" s="14"/>
      <c r="AF189" s="14"/>
      <c r="AG189" s="15"/>
    </row>
    <row r="190" spans="1:33">
      <c r="A190" s="8" t="s">
        <v>314</v>
      </c>
      <c r="B190" s="9"/>
      <c r="C190" s="8"/>
      <c r="D190" s="9"/>
      <c r="E190" s="9"/>
      <c r="F190" s="8"/>
      <c r="G190" s="10"/>
      <c r="H190" s="10"/>
      <c r="I190" s="10"/>
      <c r="J190" s="10"/>
      <c r="K190" s="10"/>
      <c r="L190" s="11" t="str">
        <f>IF(COUNTBLANK(G190:K190)=5,"",IF(COUNTIF(G190:K190,"No")&gt;0,"EXCLUDE","INCLUDE"))</f>
        <v/>
      </c>
      <c r="M190" s="11" t="str">
        <f>IF(L190&lt;&gt;"EXCLUDE","",IF(G190="No","Wrong domain (non-AECO)",IF(H190="No","Digital Twin not core / buzzword",IF(I190="No","No Design for Safety/Quality/PtD",IF(J190="No","Wrong publication type",IF(K190="No","Non-English",""))))))</f>
        <v/>
      </c>
      <c r="N190" s="12"/>
      <c r="O190" s="12"/>
      <c r="P190" s="13"/>
      <c r="Q190" s="13"/>
      <c r="R190" s="13"/>
      <c r="S190" s="11" t="str">
        <f>IF(N190&lt;&gt;"Yes","",IF(COUNTBLANK(P190:R190)=3,"",IF(COUNTIF(P190:R190,"No")&gt;0,"EXCLUDE","INCLUDE")))</f>
        <v/>
      </c>
      <c r="T190" s="11" t="str">
        <f>IF(S190&lt;&gt;"EXCLUDE","",IF(P190="No","Digital Twin mentioned only, not the subject",IF(Q190="No","No Design for Safety/Quality in full text",IF(R190="No","Methodology not codable",""))))</f>
        <v/>
      </c>
      <c r="U190" s="14"/>
      <c r="V190" s="14"/>
      <c r="W190" s="14"/>
      <c r="X190" s="14"/>
      <c r="Y190" s="11" t="str">
        <f>IF(SUM(V190:X190)=0,"",IF(SUM(V190:X190)&gt;=2,"Multi","Single"))</f>
        <v/>
      </c>
      <c r="Z190" s="14"/>
      <c r="AA190" s="14"/>
      <c r="AB190" s="14"/>
      <c r="AC190" s="14"/>
      <c r="AD190" s="14"/>
      <c r="AE190" s="14"/>
      <c r="AF190" s="14"/>
      <c r="AG190" s="15"/>
    </row>
    <row r="191" spans="1:33">
      <c r="A191" s="8" t="s">
        <v>315</v>
      </c>
      <c r="B191" s="9"/>
      <c r="C191" s="8"/>
      <c r="D191" s="9"/>
      <c r="E191" s="9"/>
      <c r="F191" s="8"/>
      <c r="G191" s="10"/>
      <c r="H191" s="10"/>
      <c r="I191" s="10"/>
      <c r="J191" s="10"/>
      <c r="K191" s="10"/>
      <c r="L191" s="11" t="str">
        <f>IF(COUNTBLANK(G191:K191)=5,"",IF(COUNTIF(G191:K191,"No")&gt;0,"EXCLUDE","INCLUDE"))</f>
        <v/>
      </c>
      <c r="M191" s="11" t="str">
        <f>IF(L191&lt;&gt;"EXCLUDE","",IF(G191="No","Wrong domain (non-AECO)",IF(H191="No","Digital Twin not core / buzzword",IF(I191="No","No Design for Safety/Quality/PtD",IF(J191="No","Wrong publication type",IF(K191="No","Non-English",""))))))</f>
        <v/>
      </c>
      <c r="N191" s="12"/>
      <c r="O191" s="12"/>
      <c r="P191" s="13"/>
      <c r="Q191" s="13"/>
      <c r="R191" s="13"/>
      <c r="S191" s="11" t="str">
        <f>IF(N191&lt;&gt;"Yes","",IF(COUNTBLANK(P191:R191)=3,"",IF(COUNTIF(P191:R191,"No")&gt;0,"EXCLUDE","INCLUDE")))</f>
        <v/>
      </c>
      <c r="T191" s="11" t="str">
        <f>IF(S191&lt;&gt;"EXCLUDE","",IF(P191="No","Digital Twin mentioned only, not the subject",IF(Q191="No","No Design for Safety/Quality in full text",IF(R191="No","Methodology not codable",""))))</f>
        <v/>
      </c>
      <c r="U191" s="14"/>
      <c r="V191" s="14"/>
      <c r="W191" s="14"/>
      <c r="X191" s="14"/>
      <c r="Y191" s="11" t="str">
        <f>IF(SUM(V191:X191)=0,"",IF(SUM(V191:X191)&gt;=2,"Multi","Single"))</f>
        <v/>
      </c>
      <c r="Z191" s="14"/>
      <c r="AA191" s="14"/>
      <c r="AB191" s="14"/>
      <c r="AC191" s="14"/>
      <c r="AD191" s="14"/>
      <c r="AE191" s="14"/>
      <c r="AF191" s="14"/>
      <c r="AG191" s="15"/>
    </row>
    <row r="192" spans="1:33">
      <c r="A192" s="8" t="s">
        <v>316</v>
      </c>
      <c r="B192" s="9"/>
      <c r="C192" s="8"/>
      <c r="D192" s="9"/>
      <c r="E192" s="9"/>
      <c r="F192" s="8"/>
      <c r="G192" s="10"/>
      <c r="H192" s="10"/>
      <c r="I192" s="10"/>
      <c r="J192" s="10"/>
      <c r="K192" s="10"/>
      <c r="L192" s="11" t="str">
        <f>IF(COUNTBLANK(G192:K192)=5,"",IF(COUNTIF(G192:K192,"No")&gt;0,"EXCLUDE","INCLUDE"))</f>
        <v/>
      </c>
      <c r="M192" s="11" t="str">
        <f>IF(L192&lt;&gt;"EXCLUDE","",IF(G192="No","Wrong domain (non-AECO)",IF(H192="No","Digital Twin not core / buzzword",IF(I192="No","No Design for Safety/Quality/PtD",IF(J192="No","Wrong publication type",IF(K192="No","Non-English",""))))))</f>
        <v/>
      </c>
      <c r="N192" s="12"/>
      <c r="O192" s="12"/>
      <c r="P192" s="13"/>
      <c r="Q192" s="13"/>
      <c r="R192" s="13"/>
      <c r="S192" s="11" t="str">
        <f>IF(N192&lt;&gt;"Yes","",IF(COUNTBLANK(P192:R192)=3,"",IF(COUNTIF(P192:R192,"No")&gt;0,"EXCLUDE","INCLUDE")))</f>
        <v/>
      </c>
      <c r="T192" s="11" t="str">
        <f>IF(S192&lt;&gt;"EXCLUDE","",IF(P192="No","Digital Twin mentioned only, not the subject",IF(Q192="No","No Design for Safety/Quality in full text",IF(R192="No","Methodology not codable",""))))</f>
        <v/>
      </c>
      <c r="U192" s="14"/>
      <c r="V192" s="14"/>
      <c r="W192" s="14"/>
      <c r="X192" s="14"/>
      <c r="Y192" s="11" t="str">
        <f>IF(SUM(V192:X192)=0,"",IF(SUM(V192:X192)&gt;=2,"Multi","Single"))</f>
        <v/>
      </c>
      <c r="Z192" s="14"/>
      <c r="AA192" s="14"/>
      <c r="AB192" s="14"/>
      <c r="AC192" s="14"/>
      <c r="AD192" s="14"/>
      <c r="AE192" s="14"/>
      <c r="AF192" s="14"/>
      <c r="AG192" s="15"/>
    </row>
    <row r="193" spans="1:33">
      <c r="A193" s="8" t="s">
        <v>317</v>
      </c>
      <c r="B193" s="9"/>
      <c r="C193" s="8"/>
      <c r="D193" s="9"/>
      <c r="E193" s="9"/>
      <c r="F193" s="8"/>
      <c r="G193" s="10"/>
      <c r="H193" s="10"/>
      <c r="I193" s="10"/>
      <c r="J193" s="10"/>
      <c r="K193" s="10"/>
      <c r="L193" s="11" t="str">
        <f>IF(COUNTBLANK(G193:K193)=5,"",IF(COUNTIF(G193:K193,"No")&gt;0,"EXCLUDE","INCLUDE"))</f>
        <v/>
      </c>
      <c r="M193" s="11" t="str">
        <f>IF(L193&lt;&gt;"EXCLUDE","",IF(G193="No","Wrong domain (non-AECO)",IF(H193="No","Digital Twin not core / buzzword",IF(I193="No","No Design for Safety/Quality/PtD",IF(J193="No","Wrong publication type",IF(K193="No","Non-English",""))))))</f>
        <v/>
      </c>
      <c r="N193" s="12"/>
      <c r="O193" s="12"/>
      <c r="P193" s="13"/>
      <c r="Q193" s="13"/>
      <c r="R193" s="13"/>
      <c r="S193" s="11" t="str">
        <f>IF(N193&lt;&gt;"Yes","",IF(COUNTBLANK(P193:R193)=3,"",IF(COUNTIF(P193:R193,"No")&gt;0,"EXCLUDE","INCLUDE")))</f>
        <v/>
      </c>
      <c r="T193" s="11" t="str">
        <f>IF(S193&lt;&gt;"EXCLUDE","",IF(P193="No","Digital Twin mentioned only, not the subject",IF(Q193="No","No Design for Safety/Quality in full text",IF(R193="No","Methodology not codable",""))))</f>
        <v/>
      </c>
      <c r="U193" s="14"/>
      <c r="V193" s="14"/>
      <c r="W193" s="14"/>
      <c r="X193" s="14"/>
      <c r="Y193" s="11" t="str">
        <f>IF(SUM(V193:X193)=0,"",IF(SUM(V193:X193)&gt;=2,"Multi","Single"))</f>
        <v/>
      </c>
      <c r="Z193" s="14"/>
      <c r="AA193" s="14"/>
      <c r="AB193" s="14"/>
      <c r="AC193" s="14"/>
      <c r="AD193" s="14"/>
      <c r="AE193" s="14"/>
      <c r="AF193" s="14"/>
      <c r="AG193" s="15"/>
    </row>
    <row r="194" spans="1:33">
      <c r="A194" s="8" t="s">
        <v>318</v>
      </c>
      <c r="B194" s="9"/>
      <c r="C194" s="8"/>
      <c r="D194" s="9"/>
      <c r="E194" s="9"/>
      <c r="F194" s="8"/>
      <c r="G194" s="10"/>
      <c r="H194" s="10"/>
      <c r="I194" s="10"/>
      <c r="J194" s="10"/>
      <c r="K194" s="10"/>
      <c r="L194" s="11" t="str">
        <f>IF(COUNTBLANK(G194:K194)=5,"",IF(COUNTIF(G194:K194,"No")&gt;0,"EXCLUDE","INCLUDE"))</f>
        <v/>
      </c>
      <c r="M194" s="11" t="str">
        <f>IF(L194&lt;&gt;"EXCLUDE","",IF(G194="No","Wrong domain (non-AECO)",IF(H194="No","Digital Twin not core / buzzword",IF(I194="No","No Design for Safety/Quality/PtD",IF(J194="No","Wrong publication type",IF(K194="No","Non-English",""))))))</f>
        <v/>
      </c>
      <c r="N194" s="12"/>
      <c r="O194" s="12"/>
      <c r="P194" s="13"/>
      <c r="Q194" s="13"/>
      <c r="R194" s="13"/>
      <c r="S194" s="11" t="str">
        <f>IF(N194&lt;&gt;"Yes","",IF(COUNTBLANK(P194:R194)=3,"",IF(COUNTIF(P194:R194,"No")&gt;0,"EXCLUDE","INCLUDE")))</f>
        <v/>
      </c>
      <c r="T194" s="11" t="str">
        <f>IF(S194&lt;&gt;"EXCLUDE","",IF(P194="No","Digital Twin mentioned only, not the subject",IF(Q194="No","No Design for Safety/Quality in full text",IF(R194="No","Methodology not codable",""))))</f>
        <v/>
      </c>
      <c r="U194" s="14"/>
      <c r="V194" s="14"/>
      <c r="W194" s="14"/>
      <c r="X194" s="14"/>
      <c r="Y194" s="11" t="str">
        <f>IF(SUM(V194:X194)=0,"",IF(SUM(V194:X194)&gt;=2,"Multi","Single"))</f>
        <v/>
      </c>
      <c r="Z194" s="14"/>
      <c r="AA194" s="14"/>
      <c r="AB194" s="14"/>
      <c r="AC194" s="14"/>
      <c r="AD194" s="14"/>
      <c r="AE194" s="14"/>
      <c r="AF194" s="14"/>
      <c r="AG194" s="15"/>
    </row>
    <row r="195" spans="1:33">
      <c r="A195" s="8" t="s">
        <v>319</v>
      </c>
      <c r="B195" s="9"/>
      <c r="C195" s="8"/>
      <c r="D195" s="9"/>
      <c r="E195" s="9"/>
      <c r="F195" s="8"/>
      <c r="G195" s="10"/>
      <c r="H195" s="10"/>
      <c r="I195" s="10"/>
      <c r="J195" s="10"/>
      <c r="K195" s="10"/>
      <c r="L195" s="11" t="str">
        <f>IF(COUNTBLANK(G195:K195)=5,"",IF(COUNTIF(G195:K195,"No")&gt;0,"EXCLUDE","INCLUDE"))</f>
        <v/>
      </c>
      <c r="M195" s="11" t="str">
        <f>IF(L195&lt;&gt;"EXCLUDE","",IF(G195="No","Wrong domain (non-AECO)",IF(H195="No","Digital Twin not core / buzzword",IF(I195="No","No Design for Safety/Quality/PtD",IF(J195="No","Wrong publication type",IF(K195="No","Non-English",""))))))</f>
        <v/>
      </c>
      <c r="N195" s="12"/>
      <c r="O195" s="12"/>
      <c r="P195" s="13"/>
      <c r="Q195" s="13"/>
      <c r="R195" s="13"/>
      <c r="S195" s="11" t="str">
        <f>IF(N195&lt;&gt;"Yes","",IF(COUNTBLANK(P195:R195)=3,"",IF(COUNTIF(P195:R195,"No")&gt;0,"EXCLUDE","INCLUDE")))</f>
        <v/>
      </c>
      <c r="T195" s="11" t="str">
        <f>IF(S195&lt;&gt;"EXCLUDE","",IF(P195="No","Digital Twin mentioned only, not the subject",IF(Q195="No","No Design for Safety/Quality in full text",IF(R195="No","Methodology not codable",""))))</f>
        <v/>
      </c>
      <c r="U195" s="14"/>
      <c r="V195" s="14"/>
      <c r="W195" s="14"/>
      <c r="X195" s="14"/>
      <c r="Y195" s="11" t="str">
        <f>IF(SUM(V195:X195)=0,"",IF(SUM(V195:X195)&gt;=2,"Multi","Single"))</f>
        <v/>
      </c>
      <c r="Z195" s="14"/>
      <c r="AA195" s="14"/>
      <c r="AB195" s="14"/>
      <c r="AC195" s="14"/>
      <c r="AD195" s="14"/>
      <c r="AE195" s="14"/>
      <c r="AF195" s="14"/>
      <c r="AG195" s="15"/>
    </row>
    <row r="196" spans="1:33">
      <c r="A196" s="8" t="s">
        <v>320</v>
      </c>
      <c r="B196" s="9"/>
      <c r="C196" s="8"/>
      <c r="D196" s="9"/>
      <c r="E196" s="9"/>
      <c r="F196" s="8"/>
      <c r="G196" s="10"/>
      <c r="H196" s="10"/>
      <c r="I196" s="10"/>
      <c r="J196" s="10"/>
      <c r="K196" s="10"/>
      <c r="L196" s="11" t="str">
        <f>IF(COUNTBLANK(G196:K196)=5,"",IF(COUNTIF(G196:K196,"No")&gt;0,"EXCLUDE","INCLUDE"))</f>
        <v/>
      </c>
      <c r="M196" s="11" t="str">
        <f>IF(L196&lt;&gt;"EXCLUDE","",IF(G196="No","Wrong domain (non-AECO)",IF(H196="No","Digital Twin not core / buzzword",IF(I196="No","No Design for Safety/Quality/PtD",IF(J196="No","Wrong publication type",IF(K196="No","Non-English",""))))))</f>
        <v/>
      </c>
      <c r="N196" s="12"/>
      <c r="O196" s="12"/>
      <c r="P196" s="13"/>
      <c r="Q196" s="13"/>
      <c r="R196" s="13"/>
      <c r="S196" s="11" t="str">
        <f>IF(N196&lt;&gt;"Yes","",IF(COUNTBLANK(P196:R196)=3,"",IF(COUNTIF(P196:R196,"No")&gt;0,"EXCLUDE","INCLUDE")))</f>
        <v/>
      </c>
      <c r="T196" s="11" t="str">
        <f>IF(S196&lt;&gt;"EXCLUDE","",IF(P196="No","Digital Twin mentioned only, not the subject",IF(Q196="No","No Design for Safety/Quality in full text",IF(R196="No","Methodology not codable",""))))</f>
        <v/>
      </c>
      <c r="U196" s="14"/>
      <c r="V196" s="14"/>
      <c r="W196" s="14"/>
      <c r="X196" s="14"/>
      <c r="Y196" s="11" t="str">
        <f>IF(SUM(V196:X196)=0,"",IF(SUM(V196:X196)&gt;=2,"Multi","Single"))</f>
        <v/>
      </c>
      <c r="Z196" s="14"/>
      <c r="AA196" s="14"/>
      <c r="AB196" s="14"/>
      <c r="AC196" s="14"/>
      <c r="AD196" s="14"/>
      <c r="AE196" s="14"/>
      <c r="AF196" s="14"/>
      <c r="AG196" s="15"/>
    </row>
    <row r="197" spans="1:33">
      <c r="A197" s="8" t="s">
        <v>321</v>
      </c>
      <c r="B197" s="9"/>
      <c r="C197" s="8"/>
      <c r="D197" s="9"/>
      <c r="E197" s="9"/>
      <c r="F197" s="8"/>
      <c r="G197" s="10"/>
      <c r="H197" s="10"/>
      <c r="I197" s="10"/>
      <c r="J197" s="10"/>
      <c r="K197" s="10"/>
      <c r="L197" s="11" t="str">
        <f>IF(COUNTBLANK(G197:K197)=5,"",IF(COUNTIF(G197:K197,"No")&gt;0,"EXCLUDE","INCLUDE"))</f>
        <v/>
      </c>
      <c r="M197" s="11" t="str">
        <f>IF(L197&lt;&gt;"EXCLUDE","",IF(G197="No","Wrong domain (non-AECO)",IF(H197="No","Digital Twin not core / buzzword",IF(I197="No","No Design for Safety/Quality/PtD",IF(J197="No","Wrong publication type",IF(K197="No","Non-English",""))))))</f>
        <v/>
      </c>
      <c r="N197" s="12"/>
      <c r="O197" s="12"/>
      <c r="P197" s="13"/>
      <c r="Q197" s="13"/>
      <c r="R197" s="13"/>
      <c r="S197" s="11" t="str">
        <f>IF(N197&lt;&gt;"Yes","",IF(COUNTBLANK(P197:R197)=3,"",IF(COUNTIF(P197:R197,"No")&gt;0,"EXCLUDE","INCLUDE")))</f>
        <v/>
      </c>
      <c r="T197" s="11" t="str">
        <f>IF(S197&lt;&gt;"EXCLUDE","",IF(P197="No","Digital Twin mentioned only, not the subject",IF(Q197="No","No Design for Safety/Quality in full text",IF(R197="No","Methodology not codable",""))))</f>
        <v/>
      </c>
      <c r="U197" s="14"/>
      <c r="V197" s="14"/>
      <c r="W197" s="14"/>
      <c r="X197" s="14"/>
      <c r="Y197" s="11" t="str">
        <f>IF(SUM(V197:X197)=0,"",IF(SUM(V197:X197)&gt;=2,"Multi","Single"))</f>
        <v/>
      </c>
      <c r="Z197" s="14"/>
      <c r="AA197" s="14"/>
      <c r="AB197" s="14"/>
      <c r="AC197" s="14"/>
      <c r="AD197" s="14"/>
      <c r="AE197" s="14"/>
      <c r="AF197" s="14"/>
      <c r="AG197" s="15"/>
    </row>
    <row r="198" spans="1:33">
      <c r="A198" s="8" t="s">
        <v>322</v>
      </c>
      <c r="B198" s="9"/>
      <c r="C198" s="8"/>
      <c r="D198" s="9"/>
      <c r="E198" s="9"/>
      <c r="F198" s="8"/>
      <c r="G198" s="10"/>
      <c r="H198" s="10"/>
      <c r="I198" s="10"/>
      <c r="J198" s="10"/>
      <c r="K198" s="10"/>
      <c r="L198" s="11" t="str">
        <f>IF(COUNTBLANK(G198:K198)=5,"",IF(COUNTIF(G198:K198,"No")&gt;0,"EXCLUDE","INCLUDE"))</f>
        <v/>
      </c>
      <c r="M198" s="11" t="str">
        <f>IF(L198&lt;&gt;"EXCLUDE","",IF(G198="No","Wrong domain (non-AECO)",IF(H198="No","Digital Twin not core / buzzword",IF(I198="No","No Design for Safety/Quality/PtD",IF(J198="No","Wrong publication type",IF(K198="No","Non-English",""))))))</f>
        <v/>
      </c>
      <c r="N198" s="12"/>
      <c r="O198" s="12"/>
      <c r="P198" s="13"/>
      <c r="Q198" s="13"/>
      <c r="R198" s="13"/>
      <c r="S198" s="11" t="str">
        <f>IF(N198&lt;&gt;"Yes","",IF(COUNTBLANK(P198:R198)=3,"",IF(COUNTIF(P198:R198,"No")&gt;0,"EXCLUDE","INCLUDE")))</f>
        <v/>
      </c>
      <c r="T198" s="11" t="str">
        <f>IF(S198&lt;&gt;"EXCLUDE","",IF(P198="No","Digital Twin mentioned only, not the subject",IF(Q198="No","No Design for Safety/Quality in full text",IF(R198="No","Methodology not codable",""))))</f>
        <v/>
      </c>
      <c r="U198" s="14"/>
      <c r="V198" s="14"/>
      <c r="W198" s="14"/>
      <c r="X198" s="14"/>
      <c r="Y198" s="11" t="str">
        <f>IF(SUM(V198:X198)=0,"",IF(SUM(V198:X198)&gt;=2,"Multi","Single"))</f>
        <v/>
      </c>
      <c r="Z198" s="14"/>
      <c r="AA198" s="14"/>
      <c r="AB198" s="14"/>
      <c r="AC198" s="14"/>
      <c r="AD198" s="14"/>
      <c r="AE198" s="14"/>
      <c r="AF198" s="14"/>
      <c r="AG198" s="15"/>
    </row>
    <row r="199" spans="1:33">
      <c r="A199" s="8" t="s">
        <v>323</v>
      </c>
      <c r="B199" s="9"/>
      <c r="C199" s="8"/>
      <c r="D199" s="9"/>
      <c r="E199" s="9"/>
      <c r="F199" s="8"/>
      <c r="G199" s="10"/>
      <c r="H199" s="10"/>
      <c r="I199" s="10"/>
      <c r="J199" s="10"/>
      <c r="K199" s="10"/>
      <c r="L199" s="11" t="str">
        <f>IF(COUNTBLANK(G199:K199)=5,"",IF(COUNTIF(G199:K199,"No")&gt;0,"EXCLUDE","INCLUDE"))</f>
        <v/>
      </c>
      <c r="M199" s="11" t="str">
        <f>IF(L199&lt;&gt;"EXCLUDE","",IF(G199="No","Wrong domain (non-AECO)",IF(H199="No","Digital Twin not core / buzzword",IF(I199="No","No Design for Safety/Quality/PtD",IF(J199="No","Wrong publication type",IF(K199="No","Non-English",""))))))</f>
        <v/>
      </c>
      <c r="N199" s="12"/>
      <c r="O199" s="12"/>
      <c r="P199" s="13"/>
      <c r="Q199" s="13"/>
      <c r="R199" s="13"/>
      <c r="S199" s="11" t="str">
        <f>IF(N199&lt;&gt;"Yes","",IF(COUNTBLANK(P199:R199)=3,"",IF(COUNTIF(P199:R199,"No")&gt;0,"EXCLUDE","INCLUDE")))</f>
        <v/>
      </c>
      <c r="T199" s="11" t="str">
        <f>IF(S199&lt;&gt;"EXCLUDE","",IF(P199="No","Digital Twin mentioned only, not the subject",IF(Q199="No","No Design for Safety/Quality in full text",IF(R199="No","Methodology not codable",""))))</f>
        <v/>
      </c>
      <c r="U199" s="14"/>
      <c r="V199" s="14"/>
      <c r="W199" s="14"/>
      <c r="X199" s="14"/>
      <c r="Y199" s="11" t="str">
        <f>IF(SUM(V199:X199)=0,"",IF(SUM(V199:X199)&gt;=2,"Multi","Single"))</f>
        <v/>
      </c>
      <c r="Z199" s="14"/>
      <c r="AA199" s="14"/>
      <c r="AB199" s="14"/>
      <c r="AC199" s="14"/>
      <c r="AD199" s="14"/>
      <c r="AE199" s="14"/>
      <c r="AF199" s="14"/>
      <c r="AG199" s="15"/>
    </row>
    <row r="200" spans="1:33">
      <c r="A200" s="8" t="s">
        <v>324</v>
      </c>
      <c r="B200" s="9"/>
      <c r="C200" s="8"/>
      <c r="D200" s="9"/>
      <c r="E200" s="9"/>
      <c r="F200" s="8"/>
      <c r="G200" s="10"/>
      <c r="H200" s="10"/>
      <c r="I200" s="10"/>
      <c r="J200" s="10"/>
      <c r="K200" s="10"/>
      <c r="L200" s="11" t="str">
        <f>IF(COUNTBLANK(G200:K200)=5,"",IF(COUNTIF(G200:K200,"No")&gt;0,"EXCLUDE","INCLUDE"))</f>
        <v/>
      </c>
      <c r="M200" s="11" t="str">
        <f>IF(L200&lt;&gt;"EXCLUDE","",IF(G200="No","Wrong domain (non-AECO)",IF(H200="No","Digital Twin not core / buzzword",IF(I200="No","No Design for Safety/Quality/PtD",IF(J200="No","Wrong publication type",IF(K200="No","Non-English",""))))))</f>
        <v/>
      </c>
      <c r="N200" s="12"/>
      <c r="O200" s="12"/>
      <c r="P200" s="13"/>
      <c r="Q200" s="13"/>
      <c r="R200" s="13"/>
      <c r="S200" s="11" t="str">
        <f>IF(N200&lt;&gt;"Yes","",IF(COUNTBLANK(P200:R200)=3,"",IF(COUNTIF(P200:R200,"No")&gt;0,"EXCLUDE","INCLUDE")))</f>
        <v/>
      </c>
      <c r="T200" s="11" t="str">
        <f>IF(S200&lt;&gt;"EXCLUDE","",IF(P200="No","Digital Twin mentioned only, not the subject",IF(Q200="No","No Design for Safety/Quality in full text",IF(R200="No","Methodology not codable",""))))</f>
        <v/>
      </c>
      <c r="U200" s="14"/>
      <c r="V200" s="14"/>
      <c r="W200" s="14"/>
      <c r="X200" s="14"/>
      <c r="Y200" s="11" t="str">
        <f>IF(SUM(V200:X200)=0,"",IF(SUM(V200:X200)&gt;=2,"Multi","Single"))</f>
        <v/>
      </c>
      <c r="Z200" s="14"/>
      <c r="AA200" s="14"/>
      <c r="AB200" s="14"/>
      <c r="AC200" s="14"/>
      <c r="AD200" s="14"/>
      <c r="AE200" s="14"/>
      <c r="AF200" s="14"/>
      <c r="AG200" s="15"/>
    </row>
    <row r="201" spans="1:33">
      <c r="A201" s="8" t="s">
        <v>325</v>
      </c>
      <c r="B201" s="9"/>
      <c r="C201" s="8"/>
      <c r="D201" s="9"/>
      <c r="E201" s="9"/>
      <c r="F201" s="8"/>
      <c r="G201" s="10"/>
      <c r="H201" s="10"/>
      <c r="I201" s="10"/>
      <c r="J201" s="10"/>
      <c r="K201" s="10"/>
      <c r="L201" s="11" t="str">
        <f>IF(COUNTBLANK(G201:K201)=5,"",IF(COUNTIF(G201:K201,"No")&gt;0,"EXCLUDE","INCLUDE"))</f>
        <v/>
      </c>
      <c r="M201" s="11" t="str">
        <f>IF(L201&lt;&gt;"EXCLUDE","",IF(G201="No","Wrong domain (non-AECO)",IF(H201="No","Digital Twin not core / buzzword",IF(I201="No","No Design for Safety/Quality/PtD",IF(J201="No","Wrong publication type",IF(K201="No","Non-English",""))))))</f>
        <v/>
      </c>
      <c r="N201" s="12"/>
      <c r="O201" s="12"/>
      <c r="P201" s="13"/>
      <c r="Q201" s="13"/>
      <c r="R201" s="13"/>
      <c r="S201" s="11" t="str">
        <f>IF(N201&lt;&gt;"Yes","",IF(COUNTBLANK(P201:R201)=3,"",IF(COUNTIF(P201:R201,"No")&gt;0,"EXCLUDE","INCLUDE")))</f>
        <v/>
      </c>
      <c r="T201" s="11" t="str">
        <f>IF(S201&lt;&gt;"EXCLUDE","",IF(P201="No","Digital Twin mentioned only, not the subject",IF(Q201="No","No Design for Safety/Quality in full text",IF(R201="No","Methodology not codable",""))))</f>
        <v/>
      </c>
      <c r="U201" s="14"/>
      <c r="V201" s="14"/>
      <c r="W201" s="14"/>
      <c r="X201" s="14"/>
      <c r="Y201" s="11" t="str">
        <f>IF(SUM(V201:X201)=0,"",IF(SUM(V201:X201)&gt;=2,"Multi","Single"))</f>
        <v/>
      </c>
      <c r="Z201" s="14"/>
      <c r="AA201" s="14"/>
      <c r="AB201" s="14"/>
      <c r="AC201" s="14"/>
      <c r="AD201" s="14"/>
      <c r="AE201" s="14"/>
      <c r="AF201" s="14"/>
      <c r="AG201" s="15"/>
    </row>
    <row r="202" spans="1:33">
      <c r="A202" s="8" t="s">
        <v>326</v>
      </c>
      <c r="B202" s="9"/>
      <c r="C202" s="8"/>
      <c r="D202" s="9"/>
      <c r="E202" s="9"/>
      <c r="F202" s="8"/>
      <c r="G202" s="10"/>
      <c r="H202" s="10"/>
      <c r="I202" s="10"/>
      <c r="J202" s="10"/>
      <c r="K202" s="10"/>
      <c r="L202" s="11" t="str">
        <f>IF(COUNTBLANK(G202:K202)=5,"",IF(COUNTIF(G202:K202,"No")&gt;0,"EXCLUDE","INCLUDE"))</f>
        <v/>
      </c>
      <c r="M202" s="11" t="str">
        <f>IF(L202&lt;&gt;"EXCLUDE","",IF(G202="No","Wrong domain (non-AECO)",IF(H202="No","Digital Twin not core / buzzword",IF(I202="No","No Design for Safety/Quality/PtD",IF(J202="No","Wrong publication type",IF(K202="No","Non-English",""))))))</f>
        <v/>
      </c>
      <c r="N202" s="12"/>
      <c r="O202" s="12"/>
      <c r="P202" s="13"/>
      <c r="Q202" s="13"/>
      <c r="R202" s="13"/>
      <c r="S202" s="11" t="str">
        <f>IF(N202&lt;&gt;"Yes","",IF(COUNTBLANK(P202:R202)=3,"",IF(COUNTIF(P202:R202,"No")&gt;0,"EXCLUDE","INCLUDE")))</f>
        <v/>
      </c>
      <c r="T202" s="11" t="str">
        <f>IF(S202&lt;&gt;"EXCLUDE","",IF(P202="No","Digital Twin mentioned only, not the subject",IF(Q202="No","No Design for Safety/Quality in full text",IF(R202="No","Methodology not codable",""))))</f>
        <v/>
      </c>
      <c r="U202" s="14"/>
      <c r="V202" s="14"/>
      <c r="W202" s="14"/>
      <c r="X202" s="14"/>
      <c r="Y202" s="11" t="str">
        <f>IF(SUM(V202:X202)=0,"",IF(SUM(V202:X202)&gt;=2,"Multi","Single"))</f>
        <v/>
      </c>
      <c r="Z202" s="14"/>
      <c r="AA202" s="14"/>
      <c r="AB202" s="14"/>
      <c r="AC202" s="14"/>
      <c r="AD202" s="14"/>
      <c r="AE202" s="14"/>
      <c r="AF202" s="14"/>
      <c r="AG202" s="15"/>
    </row>
    <row r="203" spans="1:33">
      <c r="A203" s="8" t="s">
        <v>327</v>
      </c>
      <c r="B203" s="9"/>
      <c r="C203" s="8"/>
      <c r="D203" s="9"/>
      <c r="E203" s="9"/>
      <c r="F203" s="8"/>
      <c r="G203" s="10"/>
      <c r="H203" s="10"/>
      <c r="I203" s="10"/>
      <c r="J203" s="10"/>
      <c r="K203" s="10"/>
      <c r="L203" s="11" t="str">
        <f>IF(COUNTBLANK(G203:K203)=5,"",IF(COUNTIF(G203:K203,"No")&gt;0,"EXCLUDE","INCLUDE"))</f>
        <v/>
      </c>
      <c r="M203" s="11" t="str">
        <f>IF(L203&lt;&gt;"EXCLUDE","",IF(G203="No","Wrong domain (non-AECO)",IF(H203="No","Digital Twin not core / buzzword",IF(I203="No","No Design for Safety/Quality/PtD",IF(J203="No","Wrong publication type",IF(K203="No","Non-English",""))))))</f>
        <v/>
      </c>
      <c r="N203" s="12"/>
      <c r="O203" s="12"/>
      <c r="P203" s="13"/>
      <c r="Q203" s="13"/>
      <c r="R203" s="13"/>
      <c r="S203" s="11" t="str">
        <f>IF(N203&lt;&gt;"Yes","",IF(COUNTBLANK(P203:R203)=3,"",IF(COUNTIF(P203:R203,"No")&gt;0,"EXCLUDE","INCLUDE")))</f>
        <v/>
      </c>
      <c r="T203" s="11" t="str">
        <f>IF(S203&lt;&gt;"EXCLUDE","",IF(P203="No","Digital Twin mentioned only, not the subject",IF(Q203="No","No Design for Safety/Quality in full text",IF(R203="No","Methodology not codable",""))))</f>
        <v/>
      </c>
      <c r="U203" s="14"/>
      <c r="V203" s="14"/>
      <c r="W203" s="14"/>
      <c r="X203" s="14"/>
      <c r="Y203" s="11" t="str">
        <f>IF(SUM(V203:X203)=0,"",IF(SUM(V203:X203)&gt;=2,"Multi","Single"))</f>
        <v/>
      </c>
      <c r="Z203" s="14"/>
      <c r="AA203" s="14"/>
      <c r="AB203" s="14"/>
      <c r="AC203" s="14"/>
      <c r="AD203" s="14"/>
      <c r="AE203" s="14"/>
      <c r="AF203" s="14"/>
      <c r="AG203" s="15"/>
    </row>
    <row r="204" spans="1:33">
      <c r="A204" s="8" t="s">
        <v>328</v>
      </c>
      <c r="B204" s="9"/>
      <c r="C204" s="8"/>
      <c r="D204" s="9"/>
      <c r="E204" s="9"/>
      <c r="F204" s="8"/>
      <c r="G204" s="10"/>
      <c r="H204" s="10"/>
      <c r="I204" s="10"/>
      <c r="J204" s="10"/>
      <c r="K204" s="10"/>
      <c r="L204" s="11" t="str">
        <f>IF(COUNTBLANK(G204:K204)=5,"",IF(COUNTIF(G204:K204,"No")&gt;0,"EXCLUDE","INCLUDE"))</f>
        <v/>
      </c>
      <c r="M204" s="11" t="str">
        <f>IF(L204&lt;&gt;"EXCLUDE","",IF(G204="No","Wrong domain (non-AECO)",IF(H204="No","Digital Twin not core / buzzword",IF(I204="No","No Design for Safety/Quality/PtD",IF(J204="No","Wrong publication type",IF(K204="No","Non-English",""))))))</f>
        <v/>
      </c>
      <c r="N204" s="12"/>
      <c r="O204" s="12"/>
      <c r="P204" s="13"/>
      <c r="Q204" s="13"/>
      <c r="R204" s="13"/>
      <c r="S204" s="11" t="str">
        <f>IF(N204&lt;&gt;"Yes","",IF(COUNTBLANK(P204:R204)=3,"",IF(COUNTIF(P204:R204,"No")&gt;0,"EXCLUDE","INCLUDE")))</f>
        <v/>
      </c>
      <c r="T204" s="11" t="str">
        <f>IF(S204&lt;&gt;"EXCLUDE","",IF(P204="No","Digital Twin mentioned only, not the subject",IF(Q204="No","No Design for Safety/Quality in full text",IF(R204="No","Methodology not codable",""))))</f>
        <v/>
      </c>
      <c r="U204" s="14"/>
      <c r="V204" s="14"/>
      <c r="W204" s="14"/>
      <c r="X204" s="14"/>
      <c r="Y204" s="11" t="str">
        <f>IF(SUM(V204:X204)=0,"",IF(SUM(V204:X204)&gt;=2,"Multi","Single"))</f>
        <v/>
      </c>
      <c r="Z204" s="14"/>
      <c r="AA204" s="14"/>
      <c r="AB204" s="14"/>
      <c r="AC204" s="14"/>
      <c r="AD204" s="14"/>
      <c r="AE204" s="14"/>
      <c r="AF204" s="14"/>
      <c r="AG204" s="15"/>
    </row>
    <row r="205" spans="1:33">
      <c r="A205" s="8" t="s">
        <v>329</v>
      </c>
      <c r="B205" s="9"/>
      <c r="C205" s="8"/>
      <c r="D205" s="9"/>
      <c r="E205" s="9"/>
      <c r="F205" s="8"/>
      <c r="G205" s="10"/>
      <c r="H205" s="10"/>
      <c r="I205" s="10"/>
      <c r="J205" s="10"/>
      <c r="K205" s="10"/>
      <c r="L205" s="11" t="str">
        <f>IF(COUNTBLANK(G205:K205)=5,"",IF(COUNTIF(G205:K205,"No")&gt;0,"EXCLUDE","INCLUDE"))</f>
        <v/>
      </c>
      <c r="M205" s="11" t="str">
        <f>IF(L205&lt;&gt;"EXCLUDE","",IF(G205="No","Wrong domain (non-AECO)",IF(H205="No","Digital Twin not core / buzzword",IF(I205="No","No Design for Safety/Quality/PtD",IF(J205="No","Wrong publication type",IF(K205="No","Non-English",""))))))</f>
        <v/>
      </c>
      <c r="N205" s="12"/>
      <c r="O205" s="12"/>
      <c r="P205" s="13"/>
      <c r="Q205" s="13"/>
      <c r="R205" s="13"/>
      <c r="S205" s="11" t="str">
        <f>IF(N205&lt;&gt;"Yes","",IF(COUNTBLANK(P205:R205)=3,"",IF(COUNTIF(P205:R205,"No")&gt;0,"EXCLUDE","INCLUDE")))</f>
        <v/>
      </c>
      <c r="T205" s="11" t="str">
        <f>IF(S205&lt;&gt;"EXCLUDE","",IF(P205="No","Digital Twin mentioned only, not the subject",IF(Q205="No","No Design for Safety/Quality in full text",IF(R205="No","Methodology not codable",""))))</f>
        <v/>
      </c>
      <c r="U205" s="14"/>
      <c r="V205" s="14"/>
      <c r="W205" s="14"/>
      <c r="X205" s="14"/>
      <c r="Y205" s="11" t="str">
        <f>IF(SUM(V205:X205)=0,"",IF(SUM(V205:X205)&gt;=2,"Multi","Single"))</f>
        <v/>
      </c>
      <c r="Z205" s="14"/>
      <c r="AA205" s="14"/>
      <c r="AB205" s="14"/>
      <c r="AC205" s="14"/>
      <c r="AD205" s="14"/>
      <c r="AE205" s="14"/>
      <c r="AF205" s="14"/>
      <c r="AG205" s="15"/>
    </row>
    <row r="206" spans="1:33">
      <c r="A206" s="8" t="s">
        <v>330</v>
      </c>
      <c r="B206" s="9"/>
      <c r="C206" s="8"/>
      <c r="D206" s="9"/>
      <c r="E206" s="9"/>
      <c r="F206" s="8"/>
      <c r="G206" s="10"/>
      <c r="H206" s="10"/>
      <c r="I206" s="10"/>
      <c r="J206" s="10"/>
      <c r="K206" s="10"/>
      <c r="L206" s="11" t="str">
        <f>IF(COUNTBLANK(G206:K206)=5,"",IF(COUNTIF(G206:K206,"No")&gt;0,"EXCLUDE","INCLUDE"))</f>
        <v/>
      </c>
      <c r="M206" s="11" t="str">
        <f>IF(L206&lt;&gt;"EXCLUDE","",IF(G206="No","Wrong domain (non-AECO)",IF(H206="No","Digital Twin not core / buzzword",IF(I206="No","No Design for Safety/Quality/PtD",IF(J206="No","Wrong publication type",IF(K206="No","Non-English",""))))))</f>
        <v/>
      </c>
      <c r="N206" s="12"/>
      <c r="O206" s="12"/>
      <c r="P206" s="13"/>
      <c r="Q206" s="13"/>
      <c r="R206" s="13"/>
      <c r="S206" s="11" t="str">
        <f>IF(N206&lt;&gt;"Yes","",IF(COUNTBLANK(P206:R206)=3,"",IF(COUNTIF(P206:R206,"No")&gt;0,"EXCLUDE","INCLUDE")))</f>
        <v/>
      </c>
      <c r="T206" s="11" t="str">
        <f>IF(S206&lt;&gt;"EXCLUDE","",IF(P206="No","Digital Twin mentioned only, not the subject",IF(Q206="No","No Design for Safety/Quality in full text",IF(R206="No","Methodology not codable",""))))</f>
        <v/>
      </c>
      <c r="U206" s="14"/>
      <c r="V206" s="14"/>
      <c r="W206" s="14"/>
      <c r="X206" s="14"/>
      <c r="Y206" s="11" t="str">
        <f>IF(SUM(V206:X206)=0,"",IF(SUM(V206:X206)&gt;=2,"Multi","Single"))</f>
        <v/>
      </c>
      <c r="Z206" s="14"/>
      <c r="AA206" s="14"/>
      <c r="AB206" s="14"/>
      <c r="AC206" s="14"/>
      <c r="AD206" s="14"/>
      <c r="AE206" s="14"/>
      <c r="AF206" s="14"/>
      <c r="AG206" s="15"/>
    </row>
    <row r="207" spans="1:33">
      <c r="A207" s="8" t="s">
        <v>331</v>
      </c>
      <c r="B207" s="9"/>
      <c r="C207" s="8"/>
      <c r="D207" s="9"/>
      <c r="E207" s="9"/>
      <c r="F207" s="8"/>
      <c r="G207" s="10"/>
      <c r="H207" s="10"/>
      <c r="I207" s="10"/>
      <c r="J207" s="10"/>
      <c r="K207" s="10"/>
      <c r="L207" s="11" t="str">
        <f>IF(COUNTBLANK(G207:K207)=5,"",IF(COUNTIF(G207:K207,"No")&gt;0,"EXCLUDE","INCLUDE"))</f>
        <v/>
      </c>
      <c r="M207" s="11" t="str">
        <f>IF(L207&lt;&gt;"EXCLUDE","",IF(G207="No","Wrong domain (non-AECO)",IF(H207="No","Digital Twin not core / buzzword",IF(I207="No","No Design for Safety/Quality/PtD",IF(J207="No","Wrong publication type",IF(K207="No","Non-English",""))))))</f>
        <v/>
      </c>
      <c r="N207" s="12"/>
      <c r="O207" s="12"/>
      <c r="P207" s="13"/>
      <c r="Q207" s="13"/>
      <c r="R207" s="13"/>
      <c r="S207" s="11" t="str">
        <f>IF(N207&lt;&gt;"Yes","",IF(COUNTBLANK(P207:R207)=3,"",IF(COUNTIF(P207:R207,"No")&gt;0,"EXCLUDE","INCLUDE")))</f>
        <v/>
      </c>
      <c r="T207" s="11" t="str">
        <f>IF(S207&lt;&gt;"EXCLUDE","",IF(P207="No","Digital Twin mentioned only, not the subject",IF(Q207="No","No Design for Safety/Quality in full text",IF(R207="No","Methodology not codable",""))))</f>
        <v/>
      </c>
      <c r="U207" s="14"/>
      <c r="V207" s="14"/>
      <c r="W207" s="14"/>
      <c r="X207" s="14"/>
      <c r="Y207" s="11" t="str">
        <f>IF(SUM(V207:X207)=0,"",IF(SUM(V207:X207)&gt;=2,"Multi","Single"))</f>
        <v/>
      </c>
      <c r="Z207" s="14"/>
      <c r="AA207" s="14"/>
      <c r="AB207" s="14"/>
      <c r="AC207" s="14"/>
      <c r="AD207" s="14"/>
      <c r="AE207" s="14"/>
      <c r="AF207" s="14"/>
      <c r="AG207" s="15"/>
    </row>
    <row r="208" spans="1:33">
      <c r="A208" s="8" t="s">
        <v>332</v>
      </c>
      <c r="B208" s="9"/>
      <c r="C208" s="8"/>
      <c r="D208" s="9"/>
      <c r="E208" s="9"/>
      <c r="F208" s="8"/>
      <c r="G208" s="10"/>
      <c r="H208" s="10"/>
      <c r="I208" s="10"/>
      <c r="J208" s="10"/>
      <c r="K208" s="10"/>
      <c r="L208" s="11" t="str">
        <f>IF(COUNTBLANK(G208:K208)=5,"",IF(COUNTIF(G208:K208,"No")&gt;0,"EXCLUDE","INCLUDE"))</f>
        <v/>
      </c>
      <c r="M208" s="11" t="str">
        <f>IF(L208&lt;&gt;"EXCLUDE","",IF(G208="No","Wrong domain (non-AECO)",IF(H208="No","Digital Twin not core / buzzword",IF(I208="No","No Design for Safety/Quality/PtD",IF(J208="No","Wrong publication type",IF(K208="No","Non-English",""))))))</f>
        <v/>
      </c>
      <c r="N208" s="12"/>
      <c r="O208" s="12"/>
      <c r="P208" s="13"/>
      <c r="Q208" s="13"/>
      <c r="R208" s="13"/>
      <c r="S208" s="11" t="str">
        <f>IF(N208&lt;&gt;"Yes","",IF(COUNTBLANK(P208:R208)=3,"",IF(COUNTIF(P208:R208,"No")&gt;0,"EXCLUDE","INCLUDE")))</f>
        <v/>
      </c>
      <c r="T208" s="11" t="str">
        <f>IF(S208&lt;&gt;"EXCLUDE","",IF(P208="No","Digital Twin mentioned only, not the subject",IF(Q208="No","No Design for Safety/Quality in full text",IF(R208="No","Methodology not codable",""))))</f>
        <v/>
      </c>
      <c r="U208" s="14"/>
      <c r="V208" s="14"/>
      <c r="W208" s="14"/>
      <c r="X208" s="14"/>
      <c r="Y208" s="11" t="str">
        <f>IF(SUM(V208:X208)=0,"",IF(SUM(V208:X208)&gt;=2,"Multi","Single"))</f>
        <v/>
      </c>
      <c r="Z208" s="14"/>
      <c r="AA208" s="14"/>
      <c r="AB208" s="14"/>
      <c r="AC208" s="14"/>
      <c r="AD208" s="14"/>
      <c r="AE208" s="14"/>
      <c r="AF208" s="14"/>
      <c r="AG208" s="15"/>
    </row>
    <row r="209" spans="1:33">
      <c r="A209" s="8" t="s">
        <v>333</v>
      </c>
      <c r="B209" s="9"/>
      <c r="C209" s="8"/>
      <c r="D209" s="9"/>
      <c r="E209" s="9"/>
      <c r="F209" s="8"/>
      <c r="G209" s="10"/>
      <c r="H209" s="10"/>
      <c r="I209" s="10"/>
      <c r="J209" s="10"/>
      <c r="K209" s="10"/>
      <c r="L209" s="11" t="str">
        <f>IF(COUNTBLANK(G209:K209)=5,"",IF(COUNTIF(G209:K209,"No")&gt;0,"EXCLUDE","INCLUDE"))</f>
        <v/>
      </c>
      <c r="M209" s="11" t="str">
        <f>IF(L209&lt;&gt;"EXCLUDE","",IF(G209="No","Wrong domain (non-AECO)",IF(H209="No","Digital Twin not core / buzzword",IF(I209="No","No Design for Safety/Quality/PtD",IF(J209="No","Wrong publication type",IF(K209="No","Non-English",""))))))</f>
        <v/>
      </c>
      <c r="N209" s="12"/>
      <c r="O209" s="12"/>
      <c r="P209" s="13"/>
      <c r="Q209" s="13"/>
      <c r="R209" s="13"/>
      <c r="S209" s="11" t="str">
        <f>IF(N209&lt;&gt;"Yes","",IF(COUNTBLANK(P209:R209)=3,"",IF(COUNTIF(P209:R209,"No")&gt;0,"EXCLUDE","INCLUDE")))</f>
        <v/>
      </c>
      <c r="T209" s="11" t="str">
        <f>IF(S209&lt;&gt;"EXCLUDE","",IF(P209="No","Digital Twin mentioned only, not the subject",IF(Q209="No","No Design for Safety/Quality in full text",IF(R209="No","Methodology not codable",""))))</f>
        <v/>
      </c>
      <c r="U209" s="14"/>
      <c r="V209" s="14"/>
      <c r="W209" s="14"/>
      <c r="X209" s="14"/>
      <c r="Y209" s="11" t="str">
        <f>IF(SUM(V209:X209)=0,"",IF(SUM(V209:X209)&gt;=2,"Multi","Single"))</f>
        <v/>
      </c>
      <c r="Z209" s="14"/>
      <c r="AA209" s="14"/>
      <c r="AB209" s="14"/>
      <c r="AC209" s="14"/>
      <c r="AD209" s="14"/>
      <c r="AE209" s="14"/>
      <c r="AF209" s="14"/>
      <c r="AG209" s="15"/>
    </row>
    <row r="210" spans="1:33">
      <c r="A210" s="8" t="s">
        <v>334</v>
      </c>
      <c r="B210" s="9"/>
      <c r="C210" s="8"/>
      <c r="D210" s="9"/>
      <c r="E210" s="9"/>
      <c r="F210" s="8"/>
      <c r="G210" s="10"/>
      <c r="H210" s="10"/>
      <c r="I210" s="10"/>
      <c r="J210" s="10"/>
      <c r="K210" s="10"/>
      <c r="L210" s="11" t="str">
        <f>IF(COUNTBLANK(G210:K210)=5,"",IF(COUNTIF(G210:K210,"No")&gt;0,"EXCLUDE","INCLUDE"))</f>
        <v/>
      </c>
      <c r="M210" s="11" t="str">
        <f>IF(L210&lt;&gt;"EXCLUDE","",IF(G210="No","Wrong domain (non-AECO)",IF(H210="No","Digital Twin not core / buzzword",IF(I210="No","No Design for Safety/Quality/PtD",IF(J210="No","Wrong publication type",IF(K210="No","Non-English",""))))))</f>
        <v/>
      </c>
      <c r="N210" s="12"/>
      <c r="O210" s="12"/>
      <c r="P210" s="13"/>
      <c r="Q210" s="13"/>
      <c r="R210" s="13"/>
      <c r="S210" s="11" t="str">
        <f>IF(N210&lt;&gt;"Yes","",IF(COUNTBLANK(P210:R210)=3,"",IF(COUNTIF(P210:R210,"No")&gt;0,"EXCLUDE","INCLUDE")))</f>
        <v/>
      </c>
      <c r="T210" s="11" t="str">
        <f>IF(S210&lt;&gt;"EXCLUDE","",IF(P210="No","Digital Twin mentioned only, not the subject",IF(Q210="No","No Design for Safety/Quality in full text",IF(R210="No","Methodology not codable",""))))</f>
        <v/>
      </c>
      <c r="U210" s="14"/>
      <c r="V210" s="14"/>
      <c r="W210" s="14"/>
      <c r="X210" s="14"/>
      <c r="Y210" s="11" t="str">
        <f>IF(SUM(V210:X210)=0,"",IF(SUM(V210:X210)&gt;=2,"Multi","Single"))</f>
        <v/>
      </c>
      <c r="Z210" s="14"/>
      <c r="AA210" s="14"/>
      <c r="AB210" s="14"/>
      <c r="AC210" s="14"/>
      <c r="AD210" s="14"/>
      <c r="AE210" s="14"/>
      <c r="AF210" s="14"/>
      <c r="AG210" s="15"/>
    </row>
    <row r="211" spans="1:33">
      <c r="A211" s="8" t="s">
        <v>335</v>
      </c>
      <c r="B211" s="9"/>
      <c r="C211" s="8"/>
      <c r="D211" s="9"/>
      <c r="E211" s="9"/>
      <c r="F211" s="8"/>
      <c r="G211" s="10"/>
      <c r="H211" s="10"/>
      <c r="I211" s="10"/>
      <c r="J211" s="10"/>
      <c r="K211" s="10"/>
      <c r="L211" s="11" t="str">
        <f>IF(COUNTBLANK(G211:K211)=5,"",IF(COUNTIF(G211:K211,"No")&gt;0,"EXCLUDE","INCLUDE"))</f>
        <v/>
      </c>
      <c r="M211" s="11" t="str">
        <f>IF(L211&lt;&gt;"EXCLUDE","",IF(G211="No","Wrong domain (non-AECO)",IF(H211="No","Digital Twin not core / buzzword",IF(I211="No","No Design for Safety/Quality/PtD",IF(J211="No","Wrong publication type",IF(K211="No","Non-English",""))))))</f>
        <v/>
      </c>
      <c r="N211" s="12"/>
      <c r="O211" s="12"/>
      <c r="P211" s="13"/>
      <c r="Q211" s="13"/>
      <c r="R211" s="13"/>
      <c r="S211" s="11" t="str">
        <f>IF(N211&lt;&gt;"Yes","",IF(COUNTBLANK(P211:R211)=3,"",IF(COUNTIF(P211:R211,"No")&gt;0,"EXCLUDE","INCLUDE")))</f>
        <v/>
      </c>
      <c r="T211" s="11" t="str">
        <f>IF(S211&lt;&gt;"EXCLUDE","",IF(P211="No","Digital Twin mentioned only, not the subject",IF(Q211="No","No Design for Safety/Quality in full text",IF(R211="No","Methodology not codable",""))))</f>
        <v/>
      </c>
      <c r="U211" s="14"/>
      <c r="V211" s="14"/>
      <c r="W211" s="14"/>
      <c r="X211" s="14"/>
      <c r="Y211" s="11" t="str">
        <f>IF(SUM(V211:X211)=0,"",IF(SUM(V211:X211)&gt;=2,"Multi","Single"))</f>
        <v/>
      </c>
      <c r="Z211" s="14"/>
      <c r="AA211" s="14"/>
      <c r="AB211" s="14"/>
      <c r="AC211" s="14"/>
      <c r="AD211" s="14"/>
      <c r="AE211" s="14"/>
      <c r="AF211" s="14"/>
      <c r="AG211" s="15"/>
    </row>
    <row r="212" spans="1:33">
      <c r="A212" s="8" t="s">
        <v>336</v>
      </c>
      <c r="B212" s="9"/>
      <c r="C212" s="8"/>
      <c r="D212" s="9"/>
      <c r="E212" s="9"/>
      <c r="F212" s="8"/>
      <c r="G212" s="10"/>
      <c r="H212" s="10"/>
      <c r="I212" s="10"/>
      <c r="J212" s="10"/>
      <c r="K212" s="10"/>
      <c r="L212" s="11" t="str">
        <f>IF(COUNTBLANK(G212:K212)=5,"",IF(COUNTIF(G212:K212,"No")&gt;0,"EXCLUDE","INCLUDE"))</f>
        <v/>
      </c>
      <c r="M212" s="11" t="str">
        <f>IF(L212&lt;&gt;"EXCLUDE","",IF(G212="No","Wrong domain (non-AECO)",IF(H212="No","Digital Twin not core / buzzword",IF(I212="No","No Design for Safety/Quality/PtD",IF(J212="No","Wrong publication type",IF(K212="No","Non-English",""))))))</f>
        <v/>
      </c>
      <c r="N212" s="12"/>
      <c r="O212" s="12"/>
      <c r="P212" s="13"/>
      <c r="Q212" s="13"/>
      <c r="R212" s="13"/>
      <c r="S212" s="11" t="str">
        <f>IF(N212&lt;&gt;"Yes","",IF(COUNTBLANK(P212:R212)=3,"",IF(COUNTIF(P212:R212,"No")&gt;0,"EXCLUDE","INCLUDE")))</f>
        <v/>
      </c>
      <c r="T212" s="11" t="str">
        <f>IF(S212&lt;&gt;"EXCLUDE","",IF(P212="No","Digital Twin mentioned only, not the subject",IF(Q212="No","No Design for Safety/Quality in full text",IF(R212="No","Methodology not codable",""))))</f>
        <v/>
      </c>
      <c r="U212" s="14"/>
      <c r="V212" s="14"/>
      <c r="W212" s="14"/>
      <c r="X212" s="14"/>
      <c r="Y212" s="11" t="str">
        <f>IF(SUM(V212:X212)=0,"",IF(SUM(V212:X212)&gt;=2,"Multi","Single"))</f>
        <v/>
      </c>
      <c r="Z212" s="14"/>
      <c r="AA212" s="14"/>
      <c r="AB212" s="14"/>
      <c r="AC212" s="14"/>
      <c r="AD212" s="14"/>
      <c r="AE212" s="14"/>
      <c r="AF212" s="14"/>
      <c r="AG212" s="15"/>
    </row>
    <row r="213" spans="1:33">
      <c r="A213" s="8" t="s">
        <v>337</v>
      </c>
      <c r="B213" s="9"/>
      <c r="C213" s="8"/>
      <c r="D213" s="9"/>
      <c r="E213" s="9"/>
      <c r="F213" s="8"/>
      <c r="G213" s="10"/>
      <c r="H213" s="10"/>
      <c r="I213" s="10"/>
      <c r="J213" s="10"/>
      <c r="K213" s="10"/>
      <c r="L213" s="11" t="str">
        <f>IF(COUNTBLANK(G213:K213)=5,"",IF(COUNTIF(G213:K213,"No")&gt;0,"EXCLUDE","INCLUDE"))</f>
        <v/>
      </c>
      <c r="M213" s="11" t="str">
        <f>IF(L213&lt;&gt;"EXCLUDE","",IF(G213="No","Wrong domain (non-AECO)",IF(H213="No","Digital Twin not core / buzzword",IF(I213="No","No Design for Safety/Quality/PtD",IF(J213="No","Wrong publication type",IF(K213="No","Non-English",""))))))</f>
        <v/>
      </c>
      <c r="N213" s="12"/>
      <c r="O213" s="12"/>
      <c r="P213" s="13"/>
      <c r="Q213" s="13"/>
      <c r="R213" s="13"/>
      <c r="S213" s="11" t="str">
        <f>IF(N213&lt;&gt;"Yes","",IF(COUNTBLANK(P213:R213)=3,"",IF(COUNTIF(P213:R213,"No")&gt;0,"EXCLUDE","INCLUDE")))</f>
        <v/>
      </c>
      <c r="T213" s="11" t="str">
        <f>IF(S213&lt;&gt;"EXCLUDE","",IF(P213="No","Digital Twin mentioned only, not the subject",IF(Q213="No","No Design for Safety/Quality in full text",IF(R213="No","Methodology not codable",""))))</f>
        <v/>
      </c>
      <c r="U213" s="14"/>
      <c r="V213" s="14"/>
      <c r="W213" s="14"/>
      <c r="X213" s="14"/>
      <c r="Y213" s="11" t="str">
        <f>IF(SUM(V213:X213)=0,"",IF(SUM(V213:X213)&gt;=2,"Multi","Single"))</f>
        <v/>
      </c>
      <c r="Z213" s="14"/>
      <c r="AA213" s="14"/>
      <c r="AB213" s="14"/>
      <c r="AC213" s="14"/>
      <c r="AD213" s="14"/>
      <c r="AE213" s="14"/>
      <c r="AF213" s="14"/>
      <c r="AG213" s="15"/>
    </row>
    <row r="214" spans="1:33">
      <c r="A214" s="8" t="s">
        <v>338</v>
      </c>
      <c r="B214" s="9"/>
      <c r="C214" s="8"/>
      <c r="D214" s="9"/>
      <c r="E214" s="9"/>
      <c r="F214" s="8"/>
      <c r="G214" s="10"/>
      <c r="H214" s="10"/>
      <c r="I214" s="10"/>
      <c r="J214" s="10"/>
      <c r="K214" s="10"/>
      <c r="L214" s="11" t="str">
        <f>IF(COUNTBLANK(G214:K214)=5,"",IF(COUNTIF(G214:K214,"No")&gt;0,"EXCLUDE","INCLUDE"))</f>
        <v/>
      </c>
      <c r="M214" s="11" t="str">
        <f>IF(L214&lt;&gt;"EXCLUDE","",IF(G214="No","Wrong domain (non-AECO)",IF(H214="No","Digital Twin not core / buzzword",IF(I214="No","No Design for Safety/Quality/PtD",IF(J214="No","Wrong publication type",IF(K214="No","Non-English",""))))))</f>
        <v/>
      </c>
      <c r="N214" s="12"/>
      <c r="O214" s="12"/>
      <c r="P214" s="13"/>
      <c r="Q214" s="13"/>
      <c r="R214" s="13"/>
      <c r="S214" s="11" t="str">
        <f>IF(N214&lt;&gt;"Yes","",IF(COUNTBLANK(P214:R214)=3,"",IF(COUNTIF(P214:R214,"No")&gt;0,"EXCLUDE","INCLUDE")))</f>
        <v/>
      </c>
      <c r="T214" s="11" t="str">
        <f>IF(S214&lt;&gt;"EXCLUDE","",IF(P214="No","Digital Twin mentioned only, not the subject",IF(Q214="No","No Design for Safety/Quality in full text",IF(R214="No","Methodology not codable",""))))</f>
        <v/>
      </c>
      <c r="U214" s="14"/>
      <c r="V214" s="14"/>
      <c r="W214" s="14"/>
      <c r="X214" s="14"/>
      <c r="Y214" s="11" t="str">
        <f>IF(SUM(V214:X214)=0,"",IF(SUM(V214:X214)&gt;=2,"Multi","Single"))</f>
        <v/>
      </c>
      <c r="Z214" s="14"/>
      <c r="AA214" s="14"/>
      <c r="AB214" s="14"/>
      <c r="AC214" s="14"/>
      <c r="AD214" s="14"/>
      <c r="AE214" s="14"/>
      <c r="AF214" s="14"/>
      <c r="AG214" s="15"/>
    </row>
    <row r="215" spans="1:33">
      <c r="A215" s="8" t="s">
        <v>339</v>
      </c>
      <c r="B215" s="9"/>
      <c r="C215" s="8"/>
      <c r="D215" s="9"/>
      <c r="E215" s="9"/>
      <c r="F215" s="8"/>
      <c r="G215" s="10"/>
      <c r="H215" s="10"/>
      <c r="I215" s="10"/>
      <c r="J215" s="10"/>
      <c r="K215" s="10"/>
      <c r="L215" s="11" t="str">
        <f>IF(COUNTBLANK(G215:K215)=5,"",IF(COUNTIF(G215:K215,"No")&gt;0,"EXCLUDE","INCLUDE"))</f>
        <v/>
      </c>
      <c r="M215" s="11" t="str">
        <f>IF(L215&lt;&gt;"EXCLUDE","",IF(G215="No","Wrong domain (non-AECO)",IF(H215="No","Digital Twin not core / buzzword",IF(I215="No","No Design for Safety/Quality/PtD",IF(J215="No","Wrong publication type",IF(K215="No","Non-English",""))))))</f>
        <v/>
      </c>
      <c r="N215" s="12"/>
      <c r="O215" s="12"/>
      <c r="P215" s="13"/>
      <c r="Q215" s="13"/>
      <c r="R215" s="13"/>
      <c r="S215" s="11" t="str">
        <f>IF(N215&lt;&gt;"Yes","",IF(COUNTBLANK(P215:R215)=3,"",IF(COUNTIF(P215:R215,"No")&gt;0,"EXCLUDE","INCLUDE")))</f>
        <v/>
      </c>
      <c r="T215" s="11" t="str">
        <f>IF(S215&lt;&gt;"EXCLUDE","",IF(P215="No","Digital Twin mentioned only, not the subject",IF(Q215="No","No Design for Safety/Quality in full text",IF(R215="No","Methodology not codable",""))))</f>
        <v/>
      </c>
      <c r="U215" s="14"/>
      <c r="V215" s="14"/>
      <c r="W215" s="14"/>
      <c r="X215" s="14"/>
      <c r="Y215" s="11" t="str">
        <f>IF(SUM(V215:X215)=0,"",IF(SUM(V215:X215)&gt;=2,"Multi","Single"))</f>
        <v/>
      </c>
      <c r="Z215" s="14"/>
      <c r="AA215" s="14"/>
      <c r="AB215" s="14"/>
      <c r="AC215" s="14"/>
      <c r="AD215" s="14"/>
      <c r="AE215" s="14"/>
      <c r="AF215" s="14"/>
      <c r="AG215" s="15"/>
    </row>
    <row r="216" spans="1:33">
      <c r="A216" s="8" t="s">
        <v>340</v>
      </c>
      <c r="B216" s="9"/>
      <c r="C216" s="8"/>
      <c r="D216" s="9"/>
      <c r="E216" s="9"/>
      <c r="F216" s="8"/>
      <c r="G216" s="10"/>
      <c r="H216" s="10"/>
      <c r="I216" s="10"/>
      <c r="J216" s="10"/>
      <c r="K216" s="10"/>
      <c r="L216" s="11" t="str">
        <f>IF(COUNTBLANK(G216:K216)=5,"",IF(COUNTIF(G216:K216,"No")&gt;0,"EXCLUDE","INCLUDE"))</f>
        <v/>
      </c>
      <c r="M216" s="11" t="str">
        <f>IF(L216&lt;&gt;"EXCLUDE","",IF(G216="No","Wrong domain (non-AECO)",IF(H216="No","Digital Twin not core / buzzword",IF(I216="No","No Design for Safety/Quality/PtD",IF(J216="No","Wrong publication type",IF(K216="No","Non-English",""))))))</f>
        <v/>
      </c>
      <c r="N216" s="12"/>
      <c r="O216" s="12"/>
      <c r="P216" s="13"/>
      <c r="Q216" s="13"/>
      <c r="R216" s="13"/>
      <c r="S216" s="11" t="str">
        <f>IF(N216&lt;&gt;"Yes","",IF(COUNTBLANK(P216:R216)=3,"",IF(COUNTIF(P216:R216,"No")&gt;0,"EXCLUDE","INCLUDE")))</f>
        <v/>
      </c>
      <c r="T216" s="11" t="str">
        <f>IF(S216&lt;&gt;"EXCLUDE","",IF(P216="No","Digital Twin mentioned only, not the subject",IF(Q216="No","No Design for Safety/Quality in full text",IF(R216="No","Methodology not codable",""))))</f>
        <v/>
      </c>
      <c r="U216" s="14"/>
      <c r="V216" s="14"/>
      <c r="W216" s="14"/>
      <c r="X216" s="14"/>
      <c r="Y216" s="11" t="str">
        <f>IF(SUM(V216:X216)=0,"",IF(SUM(V216:X216)&gt;=2,"Multi","Single"))</f>
        <v/>
      </c>
      <c r="Z216" s="14"/>
      <c r="AA216" s="14"/>
      <c r="AB216" s="14"/>
      <c r="AC216" s="14"/>
      <c r="AD216" s="14"/>
      <c r="AE216" s="14"/>
      <c r="AF216" s="14"/>
      <c r="AG216" s="15"/>
    </row>
    <row r="217" spans="1:33">
      <c r="A217" s="8" t="s">
        <v>341</v>
      </c>
      <c r="B217" s="9"/>
      <c r="C217" s="8"/>
      <c r="D217" s="9"/>
      <c r="E217" s="9"/>
      <c r="F217" s="8"/>
      <c r="G217" s="10"/>
      <c r="H217" s="10"/>
      <c r="I217" s="10"/>
      <c r="J217" s="10"/>
      <c r="K217" s="10"/>
      <c r="L217" s="11" t="str">
        <f>IF(COUNTBLANK(G217:K217)=5,"",IF(COUNTIF(G217:K217,"No")&gt;0,"EXCLUDE","INCLUDE"))</f>
        <v/>
      </c>
      <c r="M217" s="11" t="str">
        <f>IF(L217&lt;&gt;"EXCLUDE","",IF(G217="No","Wrong domain (non-AECO)",IF(H217="No","Digital Twin not core / buzzword",IF(I217="No","No Design for Safety/Quality/PtD",IF(J217="No","Wrong publication type",IF(K217="No","Non-English",""))))))</f>
        <v/>
      </c>
      <c r="N217" s="12"/>
      <c r="O217" s="12"/>
      <c r="P217" s="13"/>
      <c r="Q217" s="13"/>
      <c r="R217" s="13"/>
      <c r="S217" s="11" t="str">
        <f>IF(N217&lt;&gt;"Yes","",IF(COUNTBLANK(P217:R217)=3,"",IF(COUNTIF(P217:R217,"No")&gt;0,"EXCLUDE","INCLUDE")))</f>
        <v/>
      </c>
      <c r="T217" s="11" t="str">
        <f>IF(S217&lt;&gt;"EXCLUDE","",IF(P217="No","Digital Twin mentioned only, not the subject",IF(Q217="No","No Design for Safety/Quality in full text",IF(R217="No","Methodology not codable",""))))</f>
        <v/>
      </c>
      <c r="U217" s="14"/>
      <c r="V217" s="14"/>
      <c r="W217" s="14"/>
      <c r="X217" s="14"/>
      <c r="Y217" s="11" t="str">
        <f>IF(SUM(V217:X217)=0,"",IF(SUM(V217:X217)&gt;=2,"Multi","Single"))</f>
        <v/>
      </c>
      <c r="Z217" s="14"/>
      <c r="AA217" s="14"/>
      <c r="AB217" s="14"/>
      <c r="AC217" s="14"/>
      <c r="AD217" s="14"/>
      <c r="AE217" s="14"/>
      <c r="AF217" s="14"/>
      <c r="AG217" s="15"/>
    </row>
    <row r="218" spans="1:33">
      <c r="A218" s="8" t="s">
        <v>342</v>
      </c>
      <c r="B218" s="9"/>
      <c r="C218" s="8"/>
      <c r="D218" s="9"/>
      <c r="E218" s="9"/>
      <c r="F218" s="8"/>
      <c r="G218" s="10"/>
      <c r="H218" s="10"/>
      <c r="I218" s="10"/>
      <c r="J218" s="10"/>
      <c r="K218" s="10"/>
      <c r="L218" s="11" t="str">
        <f>IF(COUNTBLANK(G218:K218)=5,"",IF(COUNTIF(G218:K218,"No")&gt;0,"EXCLUDE","INCLUDE"))</f>
        <v/>
      </c>
      <c r="M218" s="11" t="str">
        <f>IF(L218&lt;&gt;"EXCLUDE","",IF(G218="No","Wrong domain (non-AECO)",IF(H218="No","Digital Twin not core / buzzword",IF(I218="No","No Design for Safety/Quality/PtD",IF(J218="No","Wrong publication type",IF(K218="No","Non-English",""))))))</f>
        <v/>
      </c>
      <c r="N218" s="12"/>
      <c r="O218" s="12"/>
      <c r="P218" s="13"/>
      <c r="Q218" s="13"/>
      <c r="R218" s="13"/>
      <c r="S218" s="11" t="str">
        <f>IF(N218&lt;&gt;"Yes","",IF(COUNTBLANK(P218:R218)=3,"",IF(COUNTIF(P218:R218,"No")&gt;0,"EXCLUDE","INCLUDE")))</f>
        <v/>
      </c>
      <c r="T218" s="11" t="str">
        <f>IF(S218&lt;&gt;"EXCLUDE","",IF(P218="No","Digital Twin mentioned only, not the subject",IF(Q218="No","No Design for Safety/Quality in full text",IF(R218="No","Methodology not codable",""))))</f>
        <v/>
      </c>
      <c r="U218" s="14"/>
      <c r="V218" s="14"/>
      <c r="W218" s="14"/>
      <c r="X218" s="14"/>
      <c r="Y218" s="11" t="str">
        <f>IF(SUM(V218:X218)=0,"",IF(SUM(V218:X218)&gt;=2,"Multi","Single"))</f>
        <v/>
      </c>
      <c r="Z218" s="14"/>
      <c r="AA218" s="14"/>
      <c r="AB218" s="14"/>
      <c r="AC218" s="14"/>
      <c r="AD218" s="14"/>
      <c r="AE218" s="14"/>
      <c r="AF218" s="14"/>
      <c r="AG218" s="15"/>
    </row>
    <row r="219" spans="1:33">
      <c r="A219" s="8" t="s">
        <v>343</v>
      </c>
      <c r="B219" s="9"/>
      <c r="C219" s="8"/>
      <c r="D219" s="9"/>
      <c r="E219" s="9"/>
      <c r="F219" s="8"/>
      <c r="G219" s="10"/>
      <c r="H219" s="10"/>
      <c r="I219" s="10"/>
      <c r="J219" s="10"/>
      <c r="K219" s="10"/>
      <c r="L219" s="11" t="str">
        <f>IF(COUNTBLANK(G219:K219)=5,"",IF(COUNTIF(G219:K219,"No")&gt;0,"EXCLUDE","INCLUDE"))</f>
        <v/>
      </c>
      <c r="M219" s="11" t="str">
        <f>IF(L219&lt;&gt;"EXCLUDE","",IF(G219="No","Wrong domain (non-AECO)",IF(H219="No","Digital Twin not core / buzzword",IF(I219="No","No Design for Safety/Quality/PtD",IF(J219="No","Wrong publication type",IF(K219="No","Non-English",""))))))</f>
        <v/>
      </c>
      <c r="N219" s="12"/>
      <c r="O219" s="12"/>
      <c r="P219" s="13"/>
      <c r="Q219" s="13"/>
      <c r="R219" s="13"/>
      <c r="S219" s="11" t="str">
        <f>IF(N219&lt;&gt;"Yes","",IF(COUNTBLANK(P219:R219)=3,"",IF(COUNTIF(P219:R219,"No")&gt;0,"EXCLUDE","INCLUDE")))</f>
        <v/>
      </c>
      <c r="T219" s="11" t="str">
        <f>IF(S219&lt;&gt;"EXCLUDE","",IF(P219="No","Digital Twin mentioned only, not the subject",IF(Q219="No","No Design for Safety/Quality in full text",IF(R219="No","Methodology not codable",""))))</f>
        <v/>
      </c>
      <c r="U219" s="14"/>
      <c r="V219" s="14"/>
      <c r="W219" s="14"/>
      <c r="X219" s="14"/>
      <c r="Y219" s="11" t="str">
        <f>IF(SUM(V219:X219)=0,"",IF(SUM(V219:X219)&gt;=2,"Multi","Single"))</f>
        <v/>
      </c>
      <c r="Z219" s="14"/>
      <c r="AA219" s="14"/>
      <c r="AB219" s="14"/>
      <c r="AC219" s="14"/>
      <c r="AD219" s="14"/>
      <c r="AE219" s="14"/>
      <c r="AF219" s="14"/>
      <c r="AG219" s="15"/>
    </row>
    <row r="220" spans="1:33">
      <c r="A220" s="8" t="s">
        <v>344</v>
      </c>
      <c r="B220" s="9"/>
      <c r="C220" s="8"/>
      <c r="D220" s="9"/>
      <c r="E220" s="9"/>
      <c r="F220" s="8"/>
      <c r="G220" s="10"/>
      <c r="H220" s="10"/>
      <c r="I220" s="10"/>
      <c r="J220" s="10"/>
      <c r="K220" s="10"/>
      <c r="L220" s="11" t="str">
        <f>IF(COUNTBLANK(G220:K220)=5,"",IF(COUNTIF(G220:K220,"No")&gt;0,"EXCLUDE","INCLUDE"))</f>
        <v/>
      </c>
      <c r="M220" s="11" t="str">
        <f>IF(L220&lt;&gt;"EXCLUDE","",IF(G220="No","Wrong domain (non-AECO)",IF(H220="No","Digital Twin not core / buzzword",IF(I220="No","No Design for Safety/Quality/PtD",IF(J220="No","Wrong publication type",IF(K220="No","Non-English",""))))))</f>
        <v/>
      </c>
      <c r="N220" s="12"/>
      <c r="O220" s="12"/>
      <c r="P220" s="13"/>
      <c r="Q220" s="13"/>
      <c r="R220" s="13"/>
      <c r="S220" s="11" t="str">
        <f>IF(N220&lt;&gt;"Yes","",IF(COUNTBLANK(P220:R220)=3,"",IF(COUNTIF(P220:R220,"No")&gt;0,"EXCLUDE","INCLUDE")))</f>
        <v/>
      </c>
      <c r="T220" s="11" t="str">
        <f>IF(S220&lt;&gt;"EXCLUDE","",IF(P220="No","Digital Twin mentioned only, not the subject",IF(Q220="No","No Design for Safety/Quality in full text",IF(R220="No","Methodology not codable",""))))</f>
        <v/>
      </c>
      <c r="U220" s="14"/>
      <c r="V220" s="14"/>
      <c r="W220" s="14"/>
      <c r="X220" s="14"/>
      <c r="Y220" s="11" t="str">
        <f>IF(SUM(V220:X220)=0,"",IF(SUM(V220:X220)&gt;=2,"Multi","Single"))</f>
        <v/>
      </c>
      <c r="Z220" s="14"/>
      <c r="AA220" s="14"/>
      <c r="AB220" s="14"/>
      <c r="AC220" s="14"/>
      <c r="AD220" s="14"/>
      <c r="AE220" s="14"/>
      <c r="AF220" s="14"/>
      <c r="AG220" s="15"/>
    </row>
    <row r="221" spans="1:33">
      <c r="A221" s="8" t="s">
        <v>345</v>
      </c>
      <c r="B221" s="9"/>
      <c r="C221" s="8"/>
      <c r="D221" s="9"/>
      <c r="E221" s="9"/>
      <c r="F221" s="8"/>
      <c r="G221" s="10"/>
      <c r="H221" s="10"/>
      <c r="I221" s="10"/>
      <c r="J221" s="10"/>
      <c r="K221" s="10"/>
      <c r="L221" s="11" t="str">
        <f>IF(COUNTBLANK(G221:K221)=5,"",IF(COUNTIF(G221:K221,"No")&gt;0,"EXCLUDE","INCLUDE"))</f>
        <v/>
      </c>
      <c r="M221" s="11" t="str">
        <f>IF(L221&lt;&gt;"EXCLUDE","",IF(G221="No","Wrong domain (non-AECO)",IF(H221="No","Digital Twin not core / buzzword",IF(I221="No","No Design for Safety/Quality/PtD",IF(J221="No","Wrong publication type",IF(K221="No","Non-English",""))))))</f>
        <v/>
      </c>
      <c r="N221" s="12"/>
      <c r="O221" s="12"/>
      <c r="P221" s="13"/>
      <c r="Q221" s="13"/>
      <c r="R221" s="13"/>
      <c r="S221" s="11" t="str">
        <f>IF(N221&lt;&gt;"Yes","",IF(COUNTBLANK(P221:R221)=3,"",IF(COUNTIF(P221:R221,"No")&gt;0,"EXCLUDE","INCLUDE")))</f>
        <v/>
      </c>
      <c r="T221" s="11" t="str">
        <f>IF(S221&lt;&gt;"EXCLUDE","",IF(P221="No","Digital Twin mentioned only, not the subject",IF(Q221="No","No Design for Safety/Quality in full text",IF(R221="No","Methodology not codable",""))))</f>
        <v/>
      </c>
      <c r="U221" s="14"/>
      <c r="V221" s="14"/>
      <c r="W221" s="14"/>
      <c r="X221" s="14"/>
      <c r="Y221" s="11" t="str">
        <f>IF(SUM(V221:X221)=0,"",IF(SUM(V221:X221)&gt;=2,"Multi","Single"))</f>
        <v/>
      </c>
      <c r="Z221" s="14"/>
      <c r="AA221" s="14"/>
      <c r="AB221" s="14"/>
      <c r="AC221" s="14"/>
      <c r="AD221" s="14"/>
      <c r="AE221" s="14"/>
      <c r="AF221" s="14"/>
      <c r="AG221" s="15"/>
    </row>
    <row r="222" spans="1:33">
      <c r="A222" s="8" t="s">
        <v>346</v>
      </c>
      <c r="B222" s="9"/>
      <c r="C222" s="8"/>
      <c r="D222" s="9"/>
      <c r="E222" s="9"/>
      <c r="F222" s="8"/>
      <c r="G222" s="10"/>
      <c r="H222" s="10"/>
      <c r="I222" s="10"/>
      <c r="J222" s="10"/>
      <c r="K222" s="10"/>
      <c r="L222" s="11" t="str">
        <f>IF(COUNTBLANK(G222:K222)=5,"",IF(COUNTIF(G222:K222,"No")&gt;0,"EXCLUDE","INCLUDE"))</f>
        <v/>
      </c>
      <c r="M222" s="11" t="str">
        <f>IF(L222&lt;&gt;"EXCLUDE","",IF(G222="No","Wrong domain (non-AECO)",IF(H222="No","Digital Twin not core / buzzword",IF(I222="No","No Design for Safety/Quality/PtD",IF(J222="No","Wrong publication type",IF(K222="No","Non-English",""))))))</f>
        <v/>
      </c>
      <c r="N222" s="12"/>
      <c r="O222" s="12"/>
      <c r="P222" s="13"/>
      <c r="Q222" s="13"/>
      <c r="R222" s="13"/>
      <c r="S222" s="11" t="str">
        <f>IF(N222&lt;&gt;"Yes","",IF(COUNTBLANK(P222:R222)=3,"",IF(COUNTIF(P222:R222,"No")&gt;0,"EXCLUDE","INCLUDE")))</f>
        <v/>
      </c>
      <c r="T222" s="11" t="str">
        <f>IF(S222&lt;&gt;"EXCLUDE","",IF(P222="No","Digital Twin mentioned only, not the subject",IF(Q222="No","No Design for Safety/Quality in full text",IF(R222="No","Methodology not codable",""))))</f>
        <v/>
      </c>
      <c r="U222" s="14"/>
      <c r="V222" s="14"/>
      <c r="W222" s="14"/>
      <c r="X222" s="14"/>
      <c r="Y222" s="11" t="str">
        <f>IF(SUM(V222:X222)=0,"",IF(SUM(V222:X222)&gt;=2,"Multi","Single"))</f>
        <v/>
      </c>
      <c r="Z222" s="14"/>
      <c r="AA222" s="14"/>
      <c r="AB222" s="14"/>
      <c r="AC222" s="14"/>
      <c r="AD222" s="14"/>
      <c r="AE222" s="14"/>
      <c r="AF222" s="14"/>
      <c r="AG222" s="15"/>
    </row>
    <row r="223" spans="1:33">
      <c r="A223" s="8" t="s">
        <v>347</v>
      </c>
      <c r="B223" s="9"/>
      <c r="C223" s="8"/>
      <c r="D223" s="9"/>
      <c r="E223" s="9"/>
      <c r="F223" s="8"/>
      <c r="G223" s="10"/>
      <c r="H223" s="10"/>
      <c r="I223" s="10"/>
      <c r="J223" s="10"/>
      <c r="K223" s="10"/>
      <c r="L223" s="11" t="str">
        <f>IF(COUNTBLANK(G223:K223)=5,"",IF(COUNTIF(G223:K223,"No")&gt;0,"EXCLUDE","INCLUDE"))</f>
        <v/>
      </c>
      <c r="M223" s="11" t="str">
        <f>IF(L223&lt;&gt;"EXCLUDE","",IF(G223="No","Wrong domain (non-AECO)",IF(H223="No","Digital Twin not core / buzzword",IF(I223="No","No Design for Safety/Quality/PtD",IF(J223="No","Wrong publication type",IF(K223="No","Non-English",""))))))</f>
        <v/>
      </c>
      <c r="N223" s="12"/>
      <c r="O223" s="12"/>
      <c r="P223" s="13"/>
      <c r="Q223" s="13"/>
      <c r="R223" s="13"/>
      <c r="S223" s="11" t="str">
        <f>IF(N223&lt;&gt;"Yes","",IF(COUNTBLANK(P223:R223)=3,"",IF(COUNTIF(P223:R223,"No")&gt;0,"EXCLUDE","INCLUDE")))</f>
        <v/>
      </c>
      <c r="T223" s="11" t="str">
        <f>IF(S223&lt;&gt;"EXCLUDE","",IF(P223="No","Digital Twin mentioned only, not the subject",IF(Q223="No","No Design for Safety/Quality in full text",IF(R223="No","Methodology not codable",""))))</f>
        <v/>
      </c>
      <c r="U223" s="14"/>
      <c r="V223" s="14"/>
      <c r="W223" s="14"/>
      <c r="X223" s="14"/>
      <c r="Y223" s="11" t="str">
        <f>IF(SUM(V223:X223)=0,"",IF(SUM(V223:X223)&gt;=2,"Multi","Single"))</f>
        <v/>
      </c>
      <c r="Z223" s="14"/>
      <c r="AA223" s="14"/>
      <c r="AB223" s="14"/>
      <c r="AC223" s="14"/>
      <c r="AD223" s="14"/>
      <c r="AE223" s="14"/>
      <c r="AF223" s="14"/>
      <c r="AG223" s="15"/>
    </row>
    <row r="224" spans="1:33">
      <c r="A224" s="8" t="s">
        <v>348</v>
      </c>
      <c r="B224" s="9"/>
      <c r="C224" s="8"/>
      <c r="D224" s="9"/>
      <c r="E224" s="9"/>
      <c r="F224" s="8"/>
      <c r="G224" s="10"/>
      <c r="H224" s="10"/>
      <c r="I224" s="10"/>
      <c r="J224" s="10"/>
      <c r="K224" s="10"/>
      <c r="L224" s="11" t="str">
        <f>IF(COUNTBLANK(G224:K224)=5,"",IF(COUNTIF(G224:K224,"No")&gt;0,"EXCLUDE","INCLUDE"))</f>
        <v/>
      </c>
      <c r="M224" s="11" t="str">
        <f>IF(L224&lt;&gt;"EXCLUDE","",IF(G224="No","Wrong domain (non-AECO)",IF(H224="No","Digital Twin not core / buzzword",IF(I224="No","No Design for Safety/Quality/PtD",IF(J224="No","Wrong publication type",IF(K224="No","Non-English",""))))))</f>
        <v/>
      </c>
      <c r="N224" s="12"/>
      <c r="O224" s="12"/>
      <c r="P224" s="13"/>
      <c r="Q224" s="13"/>
      <c r="R224" s="13"/>
      <c r="S224" s="11" t="str">
        <f>IF(N224&lt;&gt;"Yes","",IF(COUNTBLANK(P224:R224)=3,"",IF(COUNTIF(P224:R224,"No")&gt;0,"EXCLUDE","INCLUDE")))</f>
        <v/>
      </c>
      <c r="T224" s="11" t="str">
        <f>IF(S224&lt;&gt;"EXCLUDE","",IF(P224="No","Digital Twin mentioned only, not the subject",IF(Q224="No","No Design for Safety/Quality in full text",IF(R224="No","Methodology not codable",""))))</f>
        <v/>
      </c>
      <c r="U224" s="14"/>
      <c r="V224" s="14"/>
      <c r="W224" s="14"/>
      <c r="X224" s="14"/>
      <c r="Y224" s="11" t="str">
        <f>IF(SUM(V224:X224)=0,"",IF(SUM(V224:X224)&gt;=2,"Multi","Single"))</f>
        <v/>
      </c>
      <c r="Z224" s="14"/>
      <c r="AA224" s="14"/>
      <c r="AB224" s="14"/>
      <c r="AC224" s="14"/>
      <c r="AD224" s="14"/>
      <c r="AE224" s="14"/>
      <c r="AF224" s="14"/>
      <c r="AG224" s="15"/>
    </row>
    <row r="225" spans="1:33">
      <c r="A225" s="8" t="s">
        <v>349</v>
      </c>
      <c r="B225" s="9"/>
      <c r="C225" s="8"/>
      <c r="D225" s="9"/>
      <c r="E225" s="9"/>
      <c r="F225" s="8"/>
      <c r="G225" s="10"/>
      <c r="H225" s="10"/>
      <c r="I225" s="10"/>
      <c r="J225" s="10"/>
      <c r="K225" s="10"/>
      <c r="L225" s="11" t="str">
        <f>IF(COUNTBLANK(G225:K225)=5,"",IF(COUNTIF(G225:K225,"No")&gt;0,"EXCLUDE","INCLUDE"))</f>
        <v/>
      </c>
      <c r="M225" s="11" t="str">
        <f>IF(L225&lt;&gt;"EXCLUDE","",IF(G225="No","Wrong domain (non-AECO)",IF(H225="No","Digital Twin not core / buzzword",IF(I225="No","No Design for Safety/Quality/PtD",IF(J225="No","Wrong publication type",IF(K225="No","Non-English",""))))))</f>
        <v/>
      </c>
      <c r="N225" s="12"/>
      <c r="O225" s="12"/>
      <c r="P225" s="13"/>
      <c r="Q225" s="13"/>
      <c r="R225" s="13"/>
      <c r="S225" s="11" t="str">
        <f>IF(N225&lt;&gt;"Yes","",IF(COUNTBLANK(P225:R225)=3,"",IF(COUNTIF(P225:R225,"No")&gt;0,"EXCLUDE","INCLUDE")))</f>
        <v/>
      </c>
      <c r="T225" s="11" t="str">
        <f>IF(S225&lt;&gt;"EXCLUDE","",IF(P225="No","Digital Twin mentioned only, not the subject",IF(Q225="No","No Design for Safety/Quality in full text",IF(R225="No","Methodology not codable",""))))</f>
        <v/>
      </c>
      <c r="U225" s="14"/>
      <c r="V225" s="14"/>
      <c r="W225" s="14"/>
      <c r="X225" s="14"/>
      <c r="Y225" s="11" t="str">
        <f>IF(SUM(V225:X225)=0,"",IF(SUM(V225:X225)&gt;=2,"Multi","Single"))</f>
        <v/>
      </c>
      <c r="Z225" s="14"/>
      <c r="AA225" s="14"/>
      <c r="AB225" s="14"/>
      <c r="AC225" s="14"/>
      <c r="AD225" s="14"/>
      <c r="AE225" s="14"/>
      <c r="AF225" s="14"/>
      <c r="AG225" s="15"/>
    </row>
    <row r="226" spans="1:33">
      <c r="A226" s="8" t="s">
        <v>350</v>
      </c>
      <c r="B226" s="9"/>
      <c r="C226" s="8"/>
      <c r="D226" s="9"/>
      <c r="E226" s="9"/>
      <c r="F226" s="8"/>
      <c r="G226" s="10"/>
      <c r="H226" s="10"/>
      <c r="I226" s="10"/>
      <c r="J226" s="10"/>
      <c r="K226" s="10"/>
      <c r="L226" s="11" t="str">
        <f>IF(COUNTBLANK(G226:K226)=5,"",IF(COUNTIF(G226:K226,"No")&gt;0,"EXCLUDE","INCLUDE"))</f>
        <v/>
      </c>
      <c r="M226" s="11" t="str">
        <f>IF(L226&lt;&gt;"EXCLUDE","",IF(G226="No","Wrong domain (non-AECO)",IF(H226="No","Digital Twin not core / buzzword",IF(I226="No","No Design for Safety/Quality/PtD",IF(J226="No","Wrong publication type",IF(K226="No","Non-English",""))))))</f>
        <v/>
      </c>
      <c r="N226" s="12"/>
      <c r="O226" s="12"/>
      <c r="P226" s="13"/>
      <c r="Q226" s="13"/>
      <c r="R226" s="13"/>
      <c r="S226" s="11" t="str">
        <f>IF(N226&lt;&gt;"Yes","",IF(COUNTBLANK(P226:R226)=3,"",IF(COUNTIF(P226:R226,"No")&gt;0,"EXCLUDE","INCLUDE")))</f>
        <v/>
      </c>
      <c r="T226" s="11" t="str">
        <f>IF(S226&lt;&gt;"EXCLUDE","",IF(P226="No","Digital Twin mentioned only, not the subject",IF(Q226="No","No Design for Safety/Quality in full text",IF(R226="No","Methodology not codable",""))))</f>
        <v/>
      </c>
      <c r="U226" s="14"/>
      <c r="V226" s="14"/>
      <c r="W226" s="14"/>
      <c r="X226" s="14"/>
      <c r="Y226" s="11" t="str">
        <f>IF(SUM(V226:X226)=0,"",IF(SUM(V226:X226)&gt;=2,"Multi","Single"))</f>
        <v/>
      </c>
      <c r="Z226" s="14"/>
      <c r="AA226" s="14"/>
      <c r="AB226" s="14"/>
      <c r="AC226" s="14"/>
      <c r="AD226" s="14"/>
      <c r="AE226" s="14"/>
      <c r="AF226" s="14"/>
      <c r="AG226" s="15"/>
    </row>
    <row r="227" spans="1:33">
      <c r="A227" s="8" t="s">
        <v>351</v>
      </c>
      <c r="B227" s="9"/>
      <c r="C227" s="8"/>
      <c r="D227" s="9"/>
      <c r="E227" s="9"/>
      <c r="F227" s="8"/>
      <c r="G227" s="10"/>
      <c r="H227" s="10"/>
      <c r="I227" s="10"/>
      <c r="J227" s="10"/>
      <c r="K227" s="10"/>
      <c r="L227" s="11" t="str">
        <f>IF(COUNTBLANK(G227:K227)=5,"",IF(COUNTIF(G227:K227,"No")&gt;0,"EXCLUDE","INCLUDE"))</f>
        <v/>
      </c>
      <c r="M227" s="11" t="str">
        <f>IF(L227&lt;&gt;"EXCLUDE","",IF(G227="No","Wrong domain (non-AECO)",IF(H227="No","Digital Twin not core / buzzword",IF(I227="No","No Design for Safety/Quality/PtD",IF(J227="No","Wrong publication type",IF(K227="No","Non-English",""))))))</f>
        <v/>
      </c>
      <c r="N227" s="12"/>
      <c r="O227" s="12"/>
      <c r="P227" s="13"/>
      <c r="Q227" s="13"/>
      <c r="R227" s="13"/>
      <c r="S227" s="11" t="str">
        <f>IF(N227&lt;&gt;"Yes","",IF(COUNTBLANK(P227:R227)=3,"",IF(COUNTIF(P227:R227,"No")&gt;0,"EXCLUDE","INCLUDE")))</f>
        <v/>
      </c>
      <c r="T227" s="11" t="str">
        <f>IF(S227&lt;&gt;"EXCLUDE","",IF(P227="No","Digital Twin mentioned only, not the subject",IF(Q227="No","No Design for Safety/Quality in full text",IF(R227="No","Methodology not codable",""))))</f>
        <v/>
      </c>
      <c r="U227" s="14"/>
      <c r="V227" s="14"/>
      <c r="W227" s="14"/>
      <c r="X227" s="14"/>
      <c r="Y227" s="11" t="str">
        <f>IF(SUM(V227:X227)=0,"",IF(SUM(V227:X227)&gt;=2,"Multi","Single"))</f>
        <v/>
      </c>
      <c r="Z227" s="14"/>
      <c r="AA227" s="14"/>
      <c r="AB227" s="14"/>
      <c r="AC227" s="14"/>
      <c r="AD227" s="14"/>
      <c r="AE227" s="14"/>
      <c r="AF227" s="14"/>
      <c r="AG227" s="15"/>
    </row>
    <row r="228" spans="1:33">
      <c r="A228" s="8" t="s">
        <v>352</v>
      </c>
      <c r="B228" s="9"/>
      <c r="C228" s="8"/>
      <c r="D228" s="9"/>
      <c r="E228" s="9"/>
      <c r="F228" s="8"/>
      <c r="G228" s="10"/>
      <c r="H228" s="10"/>
      <c r="I228" s="10"/>
      <c r="J228" s="10"/>
      <c r="K228" s="10"/>
      <c r="L228" s="11" t="str">
        <f>IF(COUNTBLANK(G228:K228)=5,"",IF(COUNTIF(G228:K228,"No")&gt;0,"EXCLUDE","INCLUDE"))</f>
        <v/>
      </c>
      <c r="M228" s="11" t="str">
        <f>IF(L228&lt;&gt;"EXCLUDE","",IF(G228="No","Wrong domain (non-AECO)",IF(H228="No","Digital Twin not core / buzzword",IF(I228="No","No Design for Safety/Quality/PtD",IF(J228="No","Wrong publication type",IF(K228="No","Non-English",""))))))</f>
        <v/>
      </c>
      <c r="N228" s="12"/>
      <c r="O228" s="12"/>
      <c r="P228" s="13"/>
      <c r="Q228" s="13"/>
      <c r="R228" s="13"/>
      <c r="S228" s="11" t="str">
        <f>IF(N228&lt;&gt;"Yes","",IF(COUNTBLANK(P228:R228)=3,"",IF(COUNTIF(P228:R228,"No")&gt;0,"EXCLUDE","INCLUDE")))</f>
        <v/>
      </c>
      <c r="T228" s="11" t="str">
        <f>IF(S228&lt;&gt;"EXCLUDE","",IF(P228="No","Digital Twin mentioned only, not the subject",IF(Q228="No","No Design for Safety/Quality in full text",IF(R228="No","Methodology not codable",""))))</f>
        <v/>
      </c>
      <c r="U228" s="14"/>
      <c r="V228" s="14"/>
      <c r="W228" s="14"/>
      <c r="X228" s="14"/>
      <c r="Y228" s="11" t="str">
        <f>IF(SUM(V228:X228)=0,"",IF(SUM(V228:X228)&gt;=2,"Multi","Single"))</f>
        <v/>
      </c>
      <c r="Z228" s="14"/>
      <c r="AA228" s="14"/>
      <c r="AB228" s="14"/>
      <c r="AC228" s="14"/>
      <c r="AD228" s="14"/>
      <c r="AE228" s="14"/>
      <c r="AF228" s="14"/>
      <c r="AG228" s="15"/>
    </row>
    <row r="229" spans="1:33">
      <c r="A229" s="8" t="s">
        <v>353</v>
      </c>
      <c r="B229" s="9"/>
      <c r="C229" s="8"/>
      <c r="D229" s="9"/>
      <c r="E229" s="9"/>
      <c r="F229" s="8"/>
      <c r="G229" s="10"/>
      <c r="H229" s="10"/>
      <c r="I229" s="10"/>
      <c r="J229" s="10"/>
      <c r="K229" s="10"/>
      <c r="L229" s="11" t="str">
        <f>IF(COUNTBLANK(G229:K229)=5,"",IF(COUNTIF(G229:K229,"No")&gt;0,"EXCLUDE","INCLUDE"))</f>
        <v/>
      </c>
      <c r="M229" s="11" t="str">
        <f>IF(L229&lt;&gt;"EXCLUDE","",IF(G229="No","Wrong domain (non-AECO)",IF(H229="No","Digital Twin not core / buzzword",IF(I229="No","No Design for Safety/Quality/PtD",IF(J229="No","Wrong publication type",IF(K229="No","Non-English",""))))))</f>
        <v/>
      </c>
      <c r="N229" s="12"/>
      <c r="O229" s="12"/>
      <c r="P229" s="13"/>
      <c r="Q229" s="13"/>
      <c r="R229" s="13"/>
      <c r="S229" s="11" t="str">
        <f>IF(N229&lt;&gt;"Yes","",IF(COUNTBLANK(P229:R229)=3,"",IF(COUNTIF(P229:R229,"No")&gt;0,"EXCLUDE","INCLUDE")))</f>
        <v/>
      </c>
      <c r="T229" s="11" t="str">
        <f>IF(S229&lt;&gt;"EXCLUDE","",IF(P229="No","Digital Twin mentioned only, not the subject",IF(Q229="No","No Design for Safety/Quality in full text",IF(R229="No","Methodology not codable",""))))</f>
        <v/>
      </c>
      <c r="U229" s="14"/>
      <c r="V229" s="14"/>
      <c r="W229" s="14"/>
      <c r="X229" s="14"/>
      <c r="Y229" s="11" t="str">
        <f>IF(SUM(V229:X229)=0,"",IF(SUM(V229:X229)&gt;=2,"Multi","Single"))</f>
        <v/>
      </c>
      <c r="Z229" s="14"/>
      <c r="AA229" s="14"/>
      <c r="AB229" s="14"/>
      <c r="AC229" s="14"/>
      <c r="AD229" s="14"/>
      <c r="AE229" s="14"/>
      <c r="AF229" s="14"/>
      <c r="AG229" s="15"/>
    </row>
    <row r="230" spans="1:33">
      <c r="A230" s="8" t="s">
        <v>354</v>
      </c>
      <c r="B230" s="9"/>
      <c r="C230" s="8"/>
      <c r="D230" s="9"/>
      <c r="E230" s="9"/>
      <c r="F230" s="8"/>
      <c r="G230" s="10"/>
      <c r="H230" s="10"/>
      <c r="I230" s="10"/>
      <c r="J230" s="10"/>
      <c r="K230" s="10"/>
      <c r="L230" s="11" t="str">
        <f>IF(COUNTBLANK(G230:K230)=5,"",IF(COUNTIF(G230:K230,"No")&gt;0,"EXCLUDE","INCLUDE"))</f>
        <v/>
      </c>
      <c r="M230" s="11" t="str">
        <f>IF(L230&lt;&gt;"EXCLUDE","",IF(G230="No","Wrong domain (non-AECO)",IF(H230="No","Digital Twin not core / buzzword",IF(I230="No","No Design for Safety/Quality/PtD",IF(J230="No","Wrong publication type",IF(K230="No","Non-English",""))))))</f>
        <v/>
      </c>
      <c r="N230" s="12"/>
      <c r="O230" s="12"/>
      <c r="P230" s="13"/>
      <c r="Q230" s="13"/>
      <c r="R230" s="13"/>
      <c r="S230" s="11" t="str">
        <f>IF(N230&lt;&gt;"Yes","",IF(COUNTBLANK(P230:R230)=3,"",IF(COUNTIF(P230:R230,"No")&gt;0,"EXCLUDE","INCLUDE")))</f>
        <v/>
      </c>
      <c r="T230" s="11" t="str">
        <f>IF(S230&lt;&gt;"EXCLUDE","",IF(P230="No","Digital Twin mentioned only, not the subject",IF(Q230="No","No Design for Safety/Quality in full text",IF(R230="No","Methodology not codable",""))))</f>
        <v/>
      </c>
      <c r="U230" s="14"/>
      <c r="V230" s="14"/>
      <c r="W230" s="14"/>
      <c r="X230" s="14"/>
      <c r="Y230" s="11" t="str">
        <f>IF(SUM(V230:X230)=0,"",IF(SUM(V230:X230)&gt;=2,"Multi","Single"))</f>
        <v/>
      </c>
      <c r="Z230" s="14"/>
      <c r="AA230" s="14"/>
      <c r="AB230" s="14"/>
      <c r="AC230" s="14"/>
      <c r="AD230" s="14"/>
      <c r="AE230" s="14"/>
      <c r="AF230" s="14"/>
      <c r="AG230" s="15"/>
    </row>
    <row r="231" spans="1:33">
      <c r="A231" s="8" t="s">
        <v>355</v>
      </c>
      <c r="B231" s="9"/>
      <c r="C231" s="8"/>
      <c r="D231" s="9"/>
      <c r="E231" s="9"/>
      <c r="F231" s="8"/>
      <c r="G231" s="10"/>
      <c r="H231" s="10"/>
      <c r="I231" s="10"/>
      <c r="J231" s="10"/>
      <c r="K231" s="10"/>
      <c r="L231" s="11" t="str">
        <f>IF(COUNTBLANK(G231:K231)=5,"",IF(COUNTIF(G231:K231,"No")&gt;0,"EXCLUDE","INCLUDE"))</f>
        <v/>
      </c>
      <c r="M231" s="11" t="str">
        <f>IF(L231&lt;&gt;"EXCLUDE","",IF(G231="No","Wrong domain (non-AECO)",IF(H231="No","Digital Twin not core / buzzword",IF(I231="No","No Design for Safety/Quality/PtD",IF(J231="No","Wrong publication type",IF(K231="No","Non-English",""))))))</f>
        <v/>
      </c>
      <c r="N231" s="12"/>
      <c r="O231" s="12"/>
      <c r="P231" s="13"/>
      <c r="Q231" s="13"/>
      <c r="R231" s="13"/>
      <c r="S231" s="11" t="str">
        <f>IF(N231&lt;&gt;"Yes","",IF(COUNTBLANK(P231:R231)=3,"",IF(COUNTIF(P231:R231,"No")&gt;0,"EXCLUDE","INCLUDE")))</f>
        <v/>
      </c>
      <c r="T231" s="11" t="str">
        <f>IF(S231&lt;&gt;"EXCLUDE","",IF(P231="No","Digital Twin mentioned only, not the subject",IF(Q231="No","No Design for Safety/Quality in full text",IF(R231="No","Methodology not codable",""))))</f>
        <v/>
      </c>
      <c r="U231" s="14"/>
      <c r="V231" s="14"/>
      <c r="W231" s="14"/>
      <c r="X231" s="14"/>
      <c r="Y231" s="11" t="str">
        <f>IF(SUM(V231:X231)=0,"",IF(SUM(V231:X231)&gt;=2,"Multi","Single"))</f>
        <v/>
      </c>
      <c r="Z231" s="14"/>
      <c r="AA231" s="14"/>
      <c r="AB231" s="14"/>
      <c r="AC231" s="14"/>
      <c r="AD231" s="14"/>
      <c r="AE231" s="14"/>
      <c r="AF231" s="14"/>
      <c r="AG231" s="15"/>
    </row>
    <row r="232" spans="1:33">
      <c r="A232" s="8" t="s">
        <v>356</v>
      </c>
      <c r="B232" s="9"/>
      <c r="C232" s="8"/>
      <c r="D232" s="9"/>
      <c r="E232" s="9"/>
      <c r="F232" s="8"/>
      <c r="G232" s="10"/>
      <c r="H232" s="10"/>
      <c r="I232" s="10"/>
      <c r="J232" s="10"/>
      <c r="K232" s="10"/>
      <c r="L232" s="11" t="str">
        <f>IF(COUNTBLANK(G232:K232)=5,"",IF(COUNTIF(G232:K232,"No")&gt;0,"EXCLUDE","INCLUDE"))</f>
        <v/>
      </c>
      <c r="M232" s="11" t="str">
        <f>IF(L232&lt;&gt;"EXCLUDE","",IF(G232="No","Wrong domain (non-AECO)",IF(H232="No","Digital Twin not core / buzzword",IF(I232="No","No Design for Safety/Quality/PtD",IF(J232="No","Wrong publication type",IF(K232="No","Non-English",""))))))</f>
        <v/>
      </c>
      <c r="N232" s="12"/>
      <c r="O232" s="12"/>
      <c r="P232" s="13"/>
      <c r="Q232" s="13"/>
      <c r="R232" s="13"/>
      <c r="S232" s="11" t="str">
        <f>IF(N232&lt;&gt;"Yes","",IF(COUNTBLANK(P232:R232)=3,"",IF(COUNTIF(P232:R232,"No")&gt;0,"EXCLUDE","INCLUDE")))</f>
        <v/>
      </c>
      <c r="T232" s="11" t="str">
        <f>IF(S232&lt;&gt;"EXCLUDE","",IF(P232="No","Digital Twin mentioned only, not the subject",IF(Q232="No","No Design for Safety/Quality in full text",IF(R232="No","Methodology not codable",""))))</f>
        <v/>
      </c>
      <c r="U232" s="14"/>
      <c r="V232" s="14"/>
      <c r="W232" s="14"/>
      <c r="X232" s="14"/>
      <c r="Y232" s="11" t="str">
        <f>IF(SUM(V232:X232)=0,"",IF(SUM(V232:X232)&gt;=2,"Multi","Single"))</f>
        <v/>
      </c>
      <c r="Z232" s="14"/>
      <c r="AA232" s="14"/>
      <c r="AB232" s="14"/>
      <c r="AC232" s="14"/>
      <c r="AD232" s="14"/>
      <c r="AE232" s="14"/>
      <c r="AF232" s="14"/>
      <c r="AG232" s="15"/>
    </row>
    <row r="233" spans="1:33">
      <c r="A233" s="8" t="s">
        <v>357</v>
      </c>
      <c r="B233" s="9"/>
      <c r="C233" s="8"/>
      <c r="D233" s="9"/>
      <c r="E233" s="9"/>
      <c r="F233" s="8"/>
      <c r="G233" s="10"/>
      <c r="H233" s="10"/>
      <c r="I233" s="10"/>
      <c r="J233" s="10"/>
      <c r="K233" s="10"/>
      <c r="L233" s="11" t="str">
        <f>IF(COUNTBLANK(G233:K233)=5,"",IF(COUNTIF(G233:K233,"No")&gt;0,"EXCLUDE","INCLUDE"))</f>
        <v/>
      </c>
      <c r="M233" s="11" t="str">
        <f>IF(L233&lt;&gt;"EXCLUDE","",IF(G233="No","Wrong domain (non-AECO)",IF(H233="No","Digital Twin not core / buzzword",IF(I233="No","No Design for Safety/Quality/PtD",IF(J233="No","Wrong publication type",IF(K233="No","Non-English",""))))))</f>
        <v/>
      </c>
      <c r="N233" s="12"/>
      <c r="O233" s="12"/>
      <c r="P233" s="13"/>
      <c r="Q233" s="13"/>
      <c r="R233" s="13"/>
      <c r="S233" s="11" t="str">
        <f>IF(N233&lt;&gt;"Yes","",IF(COUNTBLANK(P233:R233)=3,"",IF(COUNTIF(P233:R233,"No")&gt;0,"EXCLUDE","INCLUDE")))</f>
        <v/>
      </c>
      <c r="T233" s="11" t="str">
        <f>IF(S233&lt;&gt;"EXCLUDE","",IF(P233="No","Digital Twin mentioned only, not the subject",IF(Q233="No","No Design for Safety/Quality in full text",IF(R233="No","Methodology not codable",""))))</f>
        <v/>
      </c>
      <c r="U233" s="14"/>
      <c r="V233" s="14"/>
      <c r="W233" s="14"/>
      <c r="X233" s="14"/>
      <c r="Y233" s="11" t="str">
        <f>IF(SUM(V233:X233)=0,"",IF(SUM(V233:X233)&gt;=2,"Multi","Single"))</f>
        <v/>
      </c>
      <c r="Z233" s="14"/>
      <c r="AA233" s="14"/>
      <c r="AB233" s="14"/>
      <c r="AC233" s="14"/>
      <c r="AD233" s="14"/>
      <c r="AE233" s="14"/>
      <c r="AF233" s="14"/>
      <c r="AG233" s="15"/>
    </row>
    <row r="234" spans="1:33">
      <c r="A234" s="8" t="s">
        <v>358</v>
      </c>
      <c r="B234" s="9"/>
      <c r="C234" s="8"/>
      <c r="D234" s="9"/>
      <c r="E234" s="9"/>
      <c r="F234" s="8"/>
      <c r="G234" s="10"/>
      <c r="H234" s="10"/>
      <c r="I234" s="10"/>
      <c r="J234" s="10"/>
      <c r="K234" s="10"/>
      <c r="L234" s="11" t="str">
        <f>IF(COUNTBLANK(G234:K234)=5,"",IF(COUNTIF(G234:K234,"No")&gt;0,"EXCLUDE","INCLUDE"))</f>
        <v/>
      </c>
      <c r="M234" s="11" t="str">
        <f>IF(L234&lt;&gt;"EXCLUDE","",IF(G234="No","Wrong domain (non-AECO)",IF(H234="No","Digital Twin not core / buzzword",IF(I234="No","No Design for Safety/Quality/PtD",IF(J234="No","Wrong publication type",IF(K234="No","Non-English",""))))))</f>
        <v/>
      </c>
      <c r="N234" s="12"/>
      <c r="O234" s="12"/>
      <c r="P234" s="13"/>
      <c r="Q234" s="13"/>
      <c r="R234" s="13"/>
      <c r="S234" s="11" t="str">
        <f>IF(N234&lt;&gt;"Yes","",IF(COUNTBLANK(P234:R234)=3,"",IF(COUNTIF(P234:R234,"No")&gt;0,"EXCLUDE","INCLUDE")))</f>
        <v/>
      </c>
      <c r="T234" s="11" t="str">
        <f>IF(S234&lt;&gt;"EXCLUDE","",IF(P234="No","Digital Twin mentioned only, not the subject",IF(Q234="No","No Design for Safety/Quality in full text",IF(R234="No","Methodology not codable",""))))</f>
        <v/>
      </c>
      <c r="U234" s="14"/>
      <c r="V234" s="14"/>
      <c r="W234" s="14"/>
      <c r="X234" s="14"/>
      <c r="Y234" s="11" t="str">
        <f>IF(SUM(V234:X234)=0,"",IF(SUM(V234:X234)&gt;=2,"Multi","Single"))</f>
        <v/>
      </c>
      <c r="Z234" s="14"/>
      <c r="AA234" s="14"/>
      <c r="AB234" s="14"/>
      <c r="AC234" s="14"/>
      <c r="AD234" s="14"/>
      <c r="AE234" s="14"/>
      <c r="AF234" s="14"/>
      <c r="AG234" s="15"/>
    </row>
    <row r="235" spans="1:33">
      <c r="A235" s="8" t="s">
        <v>359</v>
      </c>
      <c r="B235" s="9"/>
      <c r="C235" s="8"/>
      <c r="D235" s="9"/>
      <c r="E235" s="9"/>
      <c r="F235" s="8"/>
      <c r="G235" s="10"/>
      <c r="H235" s="10"/>
      <c r="I235" s="10"/>
      <c r="J235" s="10"/>
      <c r="K235" s="10"/>
      <c r="L235" s="11" t="str">
        <f>IF(COUNTBLANK(G235:K235)=5,"",IF(COUNTIF(G235:K235,"No")&gt;0,"EXCLUDE","INCLUDE"))</f>
        <v/>
      </c>
      <c r="M235" s="11" t="str">
        <f>IF(L235&lt;&gt;"EXCLUDE","",IF(G235="No","Wrong domain (non-AECO)",IF(H235="No","Digital Twin not core / buzzword",IF(I235="No","No Design for Safety/Quality/PtD",IF(J235="No","Wrong publication type",IF(K235="No","Non-English",""))))))</f>
        <v/>
      </c>
      <c r="N235" s="12"/>
      <c r="O235" s="12"/>
      <c r="P235" s="13"/>
      <c r="Q235" s="13"/>
      <c r="R235" s="13"/>
      <c r="S235" s="11" t="str">
        <f>IF(N235&lt;&gt;"Yes","",IF(COUNTBLANK(P235:R235)=3,"",IF(COUNTIF(P235:R235,"No")&gt;0,"EXCLUDE","INCLUDE")))</f>
        <v/>
      </c>
      <c r="T235" s="11" t="str">
        <f>IF(S235&lt;&gt;"EXCLUDE","",IF(P235="No","Digital Twin mentioned only, not the subject",IF(Q235="No","No Design for Safety/Quality in full text",IF(R235="No","Methodology not codable",""))))</f>
        <v/>
      </c>
      <c r="U235" s="14"/>
      <c r="V235" s="14"/>
      <c r="W235" s="14"/>
      <c r="X235" s="14"/>
      <c r="Y235" s="11" t="str">
        <f>IF(SUM(V235:X235)=0,"",IF(SUM(V235:X235)&gt;=2,"Multi","Single"))</f>
        <v/>
      </c>
      <c r="Z235" s="14"/>
      <c r="AA235" s="14"/>
      <c r="AB235" s="14"/>
      <c r="AC235" s="14"/>
      <c r="AD235" s="14"/>
      <c r="AE235" s="14"/>
      <c r="AF235" s="14"/>
      <c r="AG235" s="15"/>
    </row>
    <row r="236" spans="1:33">
      <c r="A236" s="8" t="s">
        <v>360</v>
      </c>
      <c r="B236" s="9"/>
      <c r="C236" s="8"/>
      <c r="D236" s="9"/>
      <c r="E236" s="9"/>
      <c r="F236" s="8"/>
      <c r="G236" s="10"/>
      <c r="H236" s="10"/>
      <c r="I236" s="10"/>
      <c r="J236" s="10"/>
      <c r="K236" s="10"/>
      <c r="L236" s="11" t="str">
        <f>IF(COUNTBLANK(G236:K236)=5,"",IF(COUNTIF(G236:K236,"No")&gt;0,"EXCLUDE","INCLUDE"))</f>
        <v/>
      </c>
      <c r="M236" s="11" t="str">
        <f>IF(L236&lt;&gt;"EXCLUDE","",IF(G236="No","Wrong domain (non-AECO)",IF(H236="No","Digital Twin not core / buzzword",IF(I236="No","No Design for Safety/Quality/PtD",IF(J236="No","Wrong publication type",IF(K236="No","Non-English",""))))))</f>
        <v/>
      </c>
      <c r="N236" s="12"/>
      <c r="O236" s="12"/>
      <c r="P236" s="13"/>
      <c r="Q236" s="13"/>
      <c r="R236" s="13"/>
      <c r="S236" s="11" t="str">
        <f>IF(N236&lt;&gt;"Yes","",IF(COUNTBLANK(P236:R236)=3,"",IF(COUNTIF(P236:R236,"No")&gt;0,"EXCLUDE","INCLUDE")))</f>
        <v/>
      </c>
      <c r="T236" s="11" t="str">
        <f>IF(S236&lt;&gt;"EXCLUDE","",IF(P236="No","Digital Twin mentioned only, not the subject",IF(Q236="No","No Design for Safety/Quality in full text",IF(R236="No","Methodology not codable",""))))</f>
        <v/>
      </c>
      <c r="U236" s="14"/>
      <c r="V236" s="14"/>
      <c r="W236" s="14"/>
      <c r="X236" s="14"/>
      <c r="Y236" s="11" t="str">
        <f>IF(SUM(V236:X236)=0,"",IF(SUM(V236:X236)&gt;=2,"Multi","Single"))</f>
        <v/>
      </c>
      <c r="Z236" s="14"/>
      <c r="AA236" s="14"/>
      <c r="AB236" s="14"/>
      <c r="AC236" s="14"/>
      <c r="AD236" s="14"/>
      <c r="AE236" s="14"/>
      <c r="AF236" s="14"/>
      <c r="AG236" s="15"/>
    </row>
    <row r="237" spans="1:33">
      <c r="A237" s="8" t="s">
        <v>361</v>
      </c>
      <c r="B237" s="9"/>
      <c r="C237" s="8"/>
      <c r="D237" s="9"/>
      <c r="E237" s="9"/>
      <c r="F237" s="8"/>
      <c r="G237" s="10"/>
      <c r="H237" s="10"/>
      <c r="I237" s="10"/>
      <c r="J237" s="10"/>
      <c r="K237" s="10"/>
      <c r="L237" s="11" t="str">
        <f>IF(COUNTBLANK(G237:K237)=5,"",IF(COUNTIF(G237:K237,"No")&gt;0,"EXCLUDE","INCLUDE"))</f>
        <v/>
      </c>
      <c r="M237" s="11" t="str">
        <f>IF(L237&lt;&gt;"EXCLUDE","",IF(G237="No","Wrong domain (non-AECO)",IF(H237="No","Digital Twin not core / buzzword",IF(I237="No","No Design for Safety/Quality/PtD",IF(J237="No","Wrong publication type",IF(K237="No","Non-English",""))))))</f>
        <v/>
      </c>
      <c r="N237" s="12"/>
      <c r="O237" s="12"/>
      <c r="P237" s="13"/>
      <c r="Q237" s="13"/>
      <c r="R237" s="13"/>
      <c r="S237" s="11" t="str">
        <f>IF(N237&lt;&gt;"Yes","",IF(COUNTBLANK(P237:R237)=3,"",IF(COUNTIF(P237:R237,"No")&gt;0,"EXCLUDE","INCLUDE")))</f>
        <v/>
      </c>
      <c r="T237" s="11" t="str">
        <f>IF(S237&lt;&gt;"EXCLUDE","",IF(P237="No","Digital Twin mentioned only, not the subject",IF(Q237="No","No Design for Safety/Quality in full text",IF(R237="No","Methodology not codable",""))))</f>
        <v/>
      </c>
      <c r="U237" s="14"/>
      <c r="V237" s="14"/>
      <c r="W237" s="14"/>
      <c r="X237" s="14"/>
      <c r="Y237" s="11" t="str">
        <f>IF(SUM(V237:X237)=0,"",IF(SUM(V237:X237)&gt;=2,"Multi","Single"))</f>
        <v/>
      </c>
      <c r="Z237" s="14"/>
      <c r="AA237" s="14"/>
      <c r="AB237" s="14"/>
      <c r="AC237" s="14"/>
      <c r="AD237" s="14"/>
      <c r="AE237" s="14"/>
      <c r="AF237" s="14"/>
      <c r="AG237" s="15"/>
    </row>
    <row r="238" spans="1:33">
      <c r="A238" s="8" t="s">
        <v>362</v>
      </c>
      <c r="B238" s="9"/>
      <c r="C238" s="8"/>
      <c r="D238" s="9"/>
      <c r="E238" s="9"/>
      <c r="F238" s="8"/>
      <c r="G238" s="10"/>
      <c r="H238" s="10"/>
      <c r="I238" s="10"/>
      <c r="J238" s="10"/>
      <c r="K238" s="10"/>
      <c r="L238" s="11" t="str">
        <f>IF(COUNTBLANK(G238:K238)=5,"",IF(COUNTIF(G238:K238,"No")&gt;0,"EXCLUDE","INCLUDE"))</f>
        <v/>
      </c>
      <c r="M238" s="11" t="str">
        <f>IF(L238&lt;&gt;"EXCLUDE","",IF(G238="No","Wrong domain (non-AECO)",IF(H238="No","Digital Twin not core / buzzword",IF(I238="No","No Design for Safety/Quality/PtD",IF(J238="No","Wrong publication type",IF(K238="No","Non-English",""))))))</f>
        <v/>
      </c>
      <c r="N238" s="12"/>
      <c r="O238" s="12"/>
      <c r="P238" s="13"/>
      <c r="Q238" s="13"/>
      <c r="R238" s="13"/>
      <c r="S238" s="11" t="str">
        <f>IF(N238&lt;&gt;"Yes","",IF(COUNTBLANK(P238:R238)=3,"",IF(COUNTIF(P238:R238,"No")&gt;0,"EXCLUDE","INCLUDE")))</f>
        <v/>
      </c>
      <c r="T238" s="11" t="str">
        <f>IF(S238&lt;&gt;"EXCLUDE","",IF(P238="No","Digital Twin mentioned only, not the subject",IF(Q238="No","No Design for Safety/Quality in full text",IF(R238="No","Methodology not codable",""))))</f>
        <v/>
      </c>
      <c r="U238" s="14"/>
      <c r="V238" s="14"/>
      <c r="W238" s="14"/>
      <c r="X238" s="14"/>
      <c r="Y238" s="11" t="str">
        <f>IF(SUM(V238:X238)=0,"",IF(SUM(V238:X238)&gt;=2,"Multi","Single"))</f>
        <v/>
      </c>
      <c r="Z238" s="14"/>
      <c r="AA238" s="14"/>
      <c r="AB238" s="14"/>
      <c r="AC238" s="14"/>
      <c r="AD238" s="14"/>
      <c r="AE238" s="14"/>
      <c r="AF238" s="14"/>
      <c r="AG238" s="15"/>
    </row>
    <row r="239" spans="1:33">
      <c r="A239" s="8" t="s">
        <v>363</v>
      </c>
      <c r="B239" s="9"/>
      <c r="C239" s="8"/>
      <c r="D239" s="9"/>
      <c r="E239" s="9"/>
      <c r="F239" s="8"/>
      <c r="G239" s="10"/>
      <c r="H239" s="10"/>
      <c r="I239" s="10"/>
      <c r="J239" s="10"/>
      <c r="K239" s="10"/>
      <c r="L239" s="11" t="str">
        <f>IF(COUNTBLANK(G239:K239)=5,"",IF(COUNTIF(G239:K239,"No")&gt;0,"EXCLUDE","INCLUDE"))</f>
        <v/>
      </c>
      <c r="M239" s="11" t="str">
        <f>IF(L239&lt;&gt;"EXCLUDE","",IF(G239="No","Wrong domain (non-AECO)",IF(H239="No","Digital Twin not core / buzzword",IF(I239="No","No Design for Safety/Quality/PtD",IF(J239="No","Wrong publication type",IF(K239="No","Non-English",""))))))</f>
        <v/>
      </c>
      <c r="N239" s="12"/>
      <c r="O239" s="12"/>
      <c r="P239" s="13"/>
      <c r="Q239" s="13"/>
      <c r="R239" s="13"/>
      <c r="S239" s="11" t="str">
        <f>IF(N239&lt;&gt;"Yes","",IF(COUNTBLANK(P239:R239)=3,"",IF(COUNTIF(P239:R239,"No")&gt;0,"EXCLUDE","INCLUDE")))</f>
        <v/>
      </c>
      <c r="T239" s="11" t="str">
        <f>IF(S239&lt;&gt;"EXCLUDE","",IF(P239="No","Digital Twin mentioned only, not the subject",IF(Q239="No","No Design for Safety/Quality in full text",IF(R239="No","Methodology not codable",""))))</f>
        <v/>
      </c>
      <c r="U239" s="14"/>
      <c r="V239" s="14"/>
      <c r="W239" s="14"/>
      <c r="X239" s="14"/>
      <c r="Y239" s="11" t="str">
        <f>IF(SUM(V239:X239)=0,"",IF(SUM(V239:X239)&gt;=2,"Multi","Single"))</f>
        <v/>
      </c>
      <c r="Z239" s="14"/>
      <c r="AA239" s="14"/>
      <c r="AB239" s="14"/>
      <c r="AC239" s="14"/>
      <c r="AD239" s="14"/>
      <c r="AE239" s="14"/>
      <c r="AF239" s="14"/>
      <c r="AG239" s="15"/>
    </row>
    <row r="240" spans="1:33">
      <c r="A240" s="8" t="s">
        <v>364</v>
      </c>
      <c r="B240" s="9"/>
      <c r="C240" s="8"/>
      <c r="D240" s="9"/>
      <c r="E240" s="9"/>
      <c r="F240" s="8"/>
      <c r="G240" s="10"/>
      <c r="H240" s="10"/>
      <c r="I240" s="10"/>
      <c r="J240" s="10"/>
      <c r="K240" s="10"/>
      <c r="L240" s="11" t="str">
        <f>IF(COUNTBLANK(G240:K240)=5,"",IF(COUNTIF(G240:K240,"No")&gt;0,"EXCLUDE","INCLUDE"))</f>
        <v/>
      </c>
      <c r="M240" s="11" t="str">
        <f>IF(L240&lt;&gt;"EXCLUDE","",IF(G240="No","Wrong domain (non-AECO)",IF(H240="No","Digital Twin not core / buzzword",IF(I240="No","No Design for Safety/Quality/PtD",IF(J240="No","Wrong publication type",IF(K240="No","Non-English",""))))))</f>
        <v/>
      </c>
      <c r="N240" s="12"/>
      <c r="O240" s="12"/>
      <c r="P240" s="13"/>
      <c r="Q240" s="13"/>
      <c r="R240" s="13"/>
      <c r="S240" s="11" t="str">
        <f>IF(N240&lt;&gt;"Yes","",IF(COUNTBLANK(P240:R240)=3,"",IF(COUNTIF(P240:R240,"No")&gt;0,"EXCLUDE","INCLUDE")))</f>
        <v/>
      </c>
      <c r="T240" s="11" t="str">
        <f>IF(S240&lt;&gt;"EXCLUDE","",IF(P240="No","Digital Twin mentioned only, not the subject",IF(Q240="No","No Design for Safety/Quality in full text",IF(R240="No","Methodology not codable",""))))</f>
        <v/>
      </c>
      <c r="U240" s="14"/>
      <c r="V240" s="14"/>
      <c r="W240" s="14"/>
      <c r="X240" s="14"/>
      <c r="Y240" s="11" t="str">
        <f>IF(SUM(V240:X240)=0,"",IF(SUM(V240:X240)&gt;=2,"Multi","Single"))</f>
        <v/>
      </c>
      <c r="Z240" s="14"/>
      <c r="AA240" s="14"/>
      <c r="AB240" s="14"/>
      <c r="AC240" s="14"/>
      <c r="AD240" s="14"/>
      <c r="AE240" s="14"/>
      <c r="AF240" s="14"/>
      <c r="AG240" s="15"/>
    </row>
    <row r="241" spans="1:33">
      <c r="A241" s="8" t="s">
        <v>365</v>
      </c>
      <c r="B241" s="9"/>
      <c r="C241" s="8"/>
      <c r="D241" s="9"/>
      <c r="E241" s="9"/>
      <c r="F241" s="8"/>
      <c r="G241" s="10"/>
      <c r="H241" s="10"/>
      <c r="I241" s="10"/>
      <c r="J241" s="10"/>
      <c r="K241" s="10"/>
      <c r="L241" s="11" t="str">
        <f>IF(COUNTBLANK(G241:K241)=5,"",IF(COUNTIF(G241:K241,"No")&gt;0,"EXCLUDE","INCLUDE"))</f>
        <v/>
      </c>
      <c r="M241" s="11" t="str">
        <f>IF(L241&lt;&gt;"EXCLUDE","",IF(G241="No","Wrong domain (non-AECO)",IF(H241="No","Digital Twin not core / buzzword",IF(I241="No","No Design for Safety/Quality/PtD",IF(J241="No","Wrong publication type",IF(K241="No","Non-English",""))))))</f>
        <v/>
      </c>
      <c r="N241" s="12"/>
      <c r="O241" s="12"/>
      <c r="P241" s="13"/>
      <c r="Q241" s="13"/>
      <c r="R241" s="13"/>
      <c r="S241" s="11" t="str">
        <f>IF(N241&lt;&gt;"Yes","",IF(COUNTBLANK(P241:R241)=3,"",IF(COUNTIF(P241:R241,"No")&gt;0,"EXCLUDE","INCLUDE")))</f>
        <v/>
      </c>
      <c r="T241" s="11" t="str">
        <f>IF(S241&lt;&gt;"EXCLUDE","",IF(P241="No","Digital Twin mentioned only, not the subject",IF(Q241="No","No Design for Safety/Quality in full text",IF(R241="No","Methodology not codable",""))))</f>
        <v/>
      </c>
      <c r="U241" s="14"/>
      <c r="V241" s="14"/>
      <c r="W241" s="14"/>
      <c r="X241" s="14"/>
      <c r="Y241" s="11" t="str">
        <f>IF(SUM(V241:X241)=0,"",IF(SUM(V241:X241)&gt;=2,"Multi","Single"))</f>
        <v/>
      </c>
      <c r="Z241" s="14"/>
      <c r="AA241" s="14"/>
      <c r="AB241" s="14"/>
      <c r="AC241" s="14"/>
      <c r="AD241" s="14"/>
      <c r="AE241" s="14"/>
      <c r="AF241" s="14"/>
      <c r="AG241" s="15"/>
    </row>
    <row r="242" spans="1:33">
      <c r="A242" s="8" t="s">
        <v>366</v>
      </c>
      <c r="B242" s="9"/>
      <c r="C242" s="8"/>
      <c r="D242" s="9"/>
      <c r="E242" s="9"/>
      <c r="F242" s="8"/>
      <c r="G242" s="10"/>
      <c r="H242" s="10"/>
      <c r="I242" s="10"/>
      <c r="J242" s="10"/>
      <c r="K242" s="10"/>
      <c r="L242" s="11" t="str">
        <f>IF(COUNTBLANK(G242:K242)=5,"",IF(COUNTIF(G242:K242,"No")&gt;0,"EXCLUDE","INCLUDE"))</f>
        <v/>
      </c>
      <c r="M242" s="11" t="str">
        <f>IF(L242&lt;&gt;"EXCLUDE","",IF(G242="No","Wrong domain (non-AECO)",IF(H242="No","Digital Twin not core / buzzword",IF(I242="No","No Design for Safety/Quality/PtD",IF(J242="No","Wrong publication type",IF(K242="No","Non-English",""))))))</f>
        <v/>
      </c>
      <c r="N242" s="12"/>
      <c r="O242" s="12"/>
      <c r="P242" s="13"/>
      <c r="Q242" s="13"/>
      <c r="R242" s="13"/>
      <c r="S242" s="11" t="str">
        <f>IF(N242&lt;&gt;"Yes","",IF(COUNTBLANK(P242:R242)=3,"",IF(COUNTIF(P242:R242,"No")&gt;0,"EXCLUDE","INCLUDE")))</f>
        <v/>
      </c>
      <c r="T242" s="11" t="str">
        <f>IF(S242&lt;&gt;"EXCLUDE","",IF(P242="No","Digital Twin mentioned only, not the subject",IF(Q242="No","No Design for Safety/Quality in full text",IF(R242="No","Methodology not codable",""))))</f>
        <v/>
      </c>
      <c r="U242" s="14"/>
      <c r="V242" s="14"/>
      <c r="W242" s="14"/>
      <c r="X242" s="14"/>
      <c r="Y242" s="11" t="str">
        <f>IF(SUM(V242:X242)=0,"",IF(SUM(V242:X242)&gt;=2,"Multi","Single"))</f>
        <v/>
      </c>
      <c r="Z242" s="14"/>
      <c r="AA242" s="14"/>
      <c r="AB242" s="14"/>
      <c r="AC242" s="14"/>
      <c r="AD242" s="14"/>
      <c r="AE242" s="14"/>
      <c r="AF242" s="14"/>
      <c r="AG242" s="15"/>
    </row>
    <row r="243" spans="1:33">
      <c r="A243" s="8" t="s">
        <v>367</v>
      </c>
      <c r="B243" s="9"/>
      <c r="C243" s="8"/>
      <c r="D243" s="9"/>
      <c r="E243" s="9"/>
      <c r="F243" s="8"/>
      <c r="G243" s="10"/>
      <c r="H243" s="10"/>
      <c r="I243" s="10"/>
      <c r="J243" s="10"/>
      <c r="K243" s="10"/>
      <c r="L243" s="11" t="str">
        <f>IF(COUNTBLANK(G243:K243)=5,"",IF(COUNTIF(G243:K243,"No")&gt;0,"EXCLUDE","INCLUDE"))</f>
        <v/>
      </c>
      <c r="M243" s="11" t="str">
        <f>IF(L243&lt;&gt;"EXCLUDE","",IF(G243="No","Wrong domain (non-AECO)",IF(H243="No","Digital Twin not core / buzzword",IF(I243="No","No Design for Safety/Quality/PtD",IF(J243="No","Wrong publication type",IF(K243="No","Non-English",""))))))</f>
        <v/>
      </c>
      <c r="N243" s="12"/>
      <c r="O243" s="12"/>
      <c r="P243" s="13"/>
      <c r="Q243" s="13"/>
      <c r="R243" s="13"/>
      <c r="S243" s="11" t="str">
        <f>IF(N243&lt;&gt;"Yes","",IF(COUNTBLANK(P243:R243)=3,"",IF(COUNTIF(P243:R243,"No")&gt;0,"EXCLUDE","INCLUDE")))</f>
        <v/>
      </c>
      <c r="T243" s="11" t="str">
        <f>IF(S243&lt;&gt;"EXCLUDE","",IF(P243="No","Digital Twin mentioned only, not the subject",IF(Q243="No","No Design for Safety/Quality in full text",IF(R243="No","Methodology not codable",""))))</f>
        <v/>
      </c>
      <c r="U243" s="14"/>
      <c r="V243" s="14"/>
      <c r="W243" s="14"/>
      <c r="X243" s="14"/>
      <c r="Y243" s="11" t="str">
        <f>IF(SUM(V243:X243)=0,"",IF(SUM(V243:X243)&gt;=2,"Multi","Single"))</f>
        <v/>
      </c>
      <c r="Z243" s="14"/>
      <c r="AA243" s="14"/>
      <c r="AB243" s="14"/>
      <c r="AC243" s="14"/>
      <c r="AD243" s="14"/>
      <c r="AE243" s="14"/>
      <c r="AF243" s="14"/>
      <c r="AG243" s="15"/>
    </row>
    <row r="244" spans="1:33">
      <c r="A244" s="8" t="s">
        <v>368</v>
      </c>
      <c r="B244" s="9"/>
      <c r="C244" s="8"/>
      <c r="D244" s="9"/>
      <c r="E244" s="9"/>
      <c r="F244" s="8"/>
      <c r="G244" s="10"/>
      <c r="H244" s="10"/>
      <c r="I244" s="10"/>
      <c r="J244" s="10"/>
      <c r="K244" s="10"/>
      <c r="L244" s="11" t="str">
        <f>IF(COUNTBLANK(G244:K244)=5,"",IF(COUNTIF(G244:K244,"No")&gt;0,"EXCLUDE","INCLUDE"))</f>
        <v/>
      </c>
      <c r="M244" s="11" t="str">
        <f>IF(L244&lt;&gt;"EXCLUDE","",IF(G244="No","Wrong domain (non-AECO)",IF(H244="No","Digital Twin not core / buzzword",IF(I244="No","No Design for Safety/Quality/PtD",IF(J244="No","Wrong publication type",IF(K244="No","Non-English",""))))))</f>
        <v/>
      </c>
      <c r="N244" s="12"/>
      <c r="O244" s="12"/>
      <c r="P244" s="13"/>
      <c r="Q244" s="13"/>
      <c r="R244" s="13"/>
      <c r="S244" s="11" t="str">
        <f>IF(N244&lt;&gt;"Yes","",IF(COUNTBLANK(P244:R244)=3,"",IF(COUNTIF(P244:R244,"No")&gt;0,"EXCLUDE","INCLUDE")))</f>
        <v/>
      </c>
      <c r="T244" s="11" t="str">
        <f>IF(S244&lt;&gt;"EXCLUDE","",IF(P244="No","Digital Twin mentioned only, not the subject",IF(Q244="No","No Design for Safety/Quality in full text",IF(R244="No","Methodology not codable",""))))</f>
        <v/>
      </c>
      <c r="U244" s="14"/>
      <c r="V244" s="14"/>
      <c r="W244" s="14"/>
      <c r="X244" s="14"/>
      <c r="Y244" s="11" t="str">
        <f>IF(SUM(V244:X244)=0,"",IF(SUM(V244:X244)&gt;=2,"Multi","Single"))</f>
        <v/>
      </c>
      <c r="Z244" s="14"/>
      <c r="AA244" s="14"/>
      <c r="AB244" s="14"/>
      <c r="AC244" s="14"/>
      <c r="AD244" s="14"/>
      <c r="AE244" s="14"/>
      <c r="AF244" s="14"/>
      <c r="AG244" s="15"/>
    </row>
    <row r="245" spans="1:33">
      <c r="A245" s="8" t="s">
        <v>369</v>
      </c>
      <c r="B245" s="9"/>
      <c r="C245" s="8"/>
      <c r="D245" s="9"/>
      <c r="E245" s="9"/>
      <c r="F245" s="8"/>
      <c r="G245" s="10"/>
      <c r="H245" s="10"/>
      <c r="I245" s="10"/>
      <c r="J245" s="10"/>
      <c r="K245" s="10"/>
      <c r="L245" s="11" t="str">
        <f>IF(COUNTBLANK(G245:K245)=5,"",IF(COUNTIF(G245:K245,"No")&gt;0,"EXCLUDE","INCLUDE"))</f>
        <v/>
      </c>
      <c r="M245" s="11" t="str">
        <f>IF(L245&lt;&gt;"EXCLUDE","",IF(G245="No","Wrong domain (non-AECO)",IF(H245="No","Digital Twin not core / buzzword",IF(I245="No","No Design for Safety/Quality/PtD",IF(J245="No","Wrong publication type",IF(K245="No","Non-English",""))))))</f>
        <v/>
      </c>
      <c r="N245" s="12"/>
      <c r="O245" s="12"/>
      <c r="P245" s="13"/>
      <c r="Q245" s="13"/>
      <c r="R245" s="13"/>
      <c r="S245" s="11" t="str">
        <f>IF(N245&lt;&gt;"Yes","",IF(COUNTBLANK(P245:R245)=3,"",IF(COUNTIF(P245:R245,"No")&gt;0,"EXCLUDE","INCLUDE")))</f>
        <v/>
      </c>
      <c r="T245" s="11" t="str">
        <f>IF(S245&lt;&gt;"EXCLUDE","",IF(P245="No","Digital Twin mentioned only, not the subject",IF(Q245="No","No Design for Safety/Quality in full text",IF(R245="No","Methodology not codable",""))))</f>
        <v/>
      </c>
      <c r="U245" s="14"/>
      <c r="V245" s="14"/>
      <c r="W245" s="14"/>
      <c r="X245" s="14"/>
      <c r="Y245" s="11" t="str">
        <f>IF(SUM(V245:X245)=0,"",IF(SUM(V245:X245)&gt;=2,"Multi","Single"))</f>
        <v/>
      </c>
      <c r="Z245" s="14"/>
      <c r="AA245" s="14"/>
      <c r="AB245" s="14"/>
      <c r="AC245" s="14"/>
      <c r="AD245" s="14"/>
      <c r="AE245" s="14"/>
      <c r="AF245" s="14"/>
      <c r="AG245" s="15"/>
    </row>
    <row r="246" spans="1:33">
      <c r="A246" s="8" t="s">
        <v>370</v>
      </c>
      <c r="B246" s="9"/>
      <c r="C246" s="8"/>
      <c r="D246" s="9"/>
      <c r="E246" s="9"/>
      <c r="F246" s="8"/>
      <c r="G246" s="10"/>
      <c r="H246" s="10"/>
      <c r="I246" s="10"/>
      <c r="J246" s="10"/>
      <c r="K246" s="10"/>
      <c r="L246" s="11" t="str">
        <f>IF(COUNTBLANK(G246:K246)=5,"",IF(COUNTIF(G246:K246,"No")&gt;0,"EXCLUDE","INCLUDE"))</f>
        <v/>
      </c>
      <c r="M246" s="11" t="str">
        <f>IF(L246&lt;&gt;"EXCLUDE","",IF(G246="No","Wrong domain (non-AECO)",IF(H246="No","Digital Twin not core / buzzword",IF(I246="No","No Design for Safety/Quality/PtD",IF(J246="No","Wrong publication type",IF(K246="No","Non-English",""))))))</f>
        <v/>
      </c>
      <c r="N246" s="12"/>
      <c r="O246" s="12"/>
      <c r="P246" s="13"/>
      <c r="Q246" s="13"/>
      <c r="R246" s="13"/>
      <c r="S246" s="11" t="str">
        <f>IF(N246&lt;&gt;"Yes","",IF(COUNTBLANK(P246:R246)=3,"",IF(COUNTIF(P246:R246,"No")&gt;0,"EXCLUDE","INCLUDE")))</f>
        <v/>
      </c>
      <c r="T246" s="11" t="str">
        <f>IF(S246&lt;&gt;"EXCLUDE","",IF(P246="No","Digital Twin mentioned only, not the subject",IF(Q246="No","No Design for Safety/Quality in full text",IF(R246="No","Methodology not codable",""))))</f>
        <v/>
      </c>
      <c r="U246" s="14"/>
      <c r="V246" s="14"/>
      <c r="W246" s="14"/>
      <c r="X246" s="14"/>
      <c r="Y246" s="11" t="str">
        <f>IF(SUM(V246:X246)=0,"",IF(SUM(V246:X246)&gt;=2,"Multi","Single"))</f>
        <v/>
      </c>
      <c r="Z246" s="14"/>
      <c r="AA246" s="14"/>
      <c r="AB246" s="14"/>
      <c r="AC246" s="14"/>
      <c r="AD246" s="14"/>
      <c r="AE246" s="14"/>
      <c r="AF246" s="14"/>
      <c r="AG246" s="15"/>
    </row>
    <row r="247" spans="1:33">
      <c r="A247" s="8" t="s">
        <v>371</v>
      </c>
      <c r="B247" s="9"/>
      <c r="C247" s="8"/>
      <c r="D247" s="9"/>
      <c r="E247" s="9"/>
      <c r="F247" s="8"/>
      <c r="G247" s="10"/>
      <c r="H247" s="10"/>
      <c r="I247" s="10"/>
      <c r="J247" s="10"/>
      <c r="K247" s="10"/>
      <c r="L247" s="11" t="str">
        <f>IF(COUNTBLANK(G247:K247)=5,"",IF(COUNTIF(G247:K247,"No")&gt;0,"EXCLUDE","INCLUDE"))</f>
        <v/>
      </c>
      <c r="M247" s="11" t="str">
        <f>IF(L247&lt;&gt;"EXCLUDE","",IF(G247="No","Wrong domain (non-AECO)",IF(H247="No","Digital Twin not core / buzzword",IF(I247="No","No Design for Safety/Quality/PtD",IF(J247="No","Wrong publication type",IF(K247="No","Non-English",""))))))</f>
        <v/>
      </c>
      <c r="N247" s="12"/>
      <c r="O247" s="12"/>
      <c r="P247" s="13"/>
      <c r="Q247" s="13"/>
      <c r="R247" s="13"/>
      <c r="S247" s="11" t="str">
        <f>IF(N247&lt;&gt;"Yes","",IF(COUNTBLANK(P247:R247)=3,"",IF(COUNTIF(P247:R247,"No")&gt;0,"EXCLUDE","INCLUDE")))</f>
        <v/>
      </c>
      <c r="T247" s="11" t="str">
        <f>IF(S247&lt;&gt;"EXCLUDE","",IF(P247="No","Digital Twin mentioned only, not the subject",IF(Q247="No","No Design for Safety/Quality in full text",IF(R247="No","Methodology not codable",""))))</f>
        <v/>
      </c>
      <c r="U247" s="14"/>
      <c r="V247" s="14"/>
      <c r="W247" s="14"/>
      <c r="X247" s="14"/>
      <c r="Y247" s="11" t="str">
        <f>IF(SUM(V247:X247)=0,"",IF(SUM(V247:X247)&gt;=2,"Multi","Single"))</f>
        <v/>
      </c>
      <c r="Z247" s="14"/>
      <c r="AA247" s="14"/>
      <c r="AB247" s="14"/>
      <c r="AC247" s="14"/>
      <c r="AD247" s="14"/>
      <c r="AE247" s="14"/>
      <c r="AF247" s="14"/>
      <c r="AG247" s="15"/>
    </row>
    <row r="248" spans="1:33">
      <c r="A248" s="8" t="s">
        <v>372</v>
      </c>
      <c r="B248" s="9"/>
      <c r="C248" s="8"/>
      <c r="D248" s="9"/>
      <c r="E248" s="9"/>
      <c r="F248" s="8"/>
      <c r="G248" s="10"/>
      <c r="H248" s="10"/>
      <c r="I248" s="10"/>
      <c r="J248" s="10"/>
      <c r="K248" s="10"/>
      <c r="L248" s="11" t="str">
        <f>IF(COUNTBLANK(G248:K248)=5,"",IF(COUNTIF(G248:K248,"No")&gt;0,"EXCLUDE","INCLUDE"))</f>
        <v/>
      </c>
      <c r="M248" s="11" t="str">
        <f>IF(L248&lt;&gt;"EXCLUDE","",IF(G248="No","Wrong domain (non-AECO)",IF(H248="No","Digital Twin not core / buzzword",IF(I248="No","No Design for Safety/Quality/PtD",IF(J248="No","Wrong publication type",IF(K248="No","Non-English",""))))))</f>
        <v/>
      </c>
      <c r="N248" s="12"/>
      <c r="O248" s="12"/>
      <c r="P248" s="13"/>
      <c r="Q248" s="13"/>
      <c r="R248" s="13"/>
      <c r="S248" s="11" t="str">
        <f>IF(N248&lt;&gt;"Yes","",IF(COUNTBLANK(P248:R248)=3,"",IF(COUNTIF(P248:R248,"No")&gt;0,"EXCLUDE","INCLUDE")))</f>
        <v/>
      </c>
      <c r="T248" s="11" t="str">
        <f>IF(S248&lt;&gt;"EXCLUDE","",IF(P248="No","Digital Twin mentioned only, not the subject",IF(Q248="No","No Design for Safety/Quality in full text",IF(R248="No","Methodology not codable",""))))</f>
        <v/>
      </c>
      <c r="U248" s="14"/>
      <c r="V248" s="14"/>
      <c r="W248" s="14"/>
      <c r="X248" s="14"/>
      <c r="Y248" s="11" t="str">
        <f>IF(SUM(V248:X248)=0,"",IF(SUM(V248:X248)&gt;=2,"Multi","Single"))</f>
        <v/>
      </c>
      <c r="Z248" s="14"/>
      <c r="AA248" s="14"/>
      <c r="AB248" s="14"/>
      <c r="AC248" s="14"/>
      <c r="AD248" s="14"/>
      <c r="AE248" s="14"/>
      <c r="AF248" s="14"/>
      <c r="AG248" s="15"/>
    </row>
    <row r="249" spans="1:33">
      <c r="A249" s="8" t="s">
        <v>373</v>
      </c>
      <c r="B249" s="9"/>
      <c r="C249" s="8"/>
      <c r="D249" s="9"/>
      <c r="E249" s="9"/>
      <c r="F249" s="8"/>
      <c r="G249" s="10"/>
      <c r="H249" s="10"/>
      <c r="I249" s="10"/>
      <c r="J249" s="10"/>
      <c r="K249" s="10"/>
      <c r="L249" s="11" t="str">
        <f>IF(COUNTBLANK(G249:K249)=5,"",IF(COUNTIF(G249:K249,"No")&gt;0,"EXCLUDE","INCLUDE"))</f>
        <v/>
      </c>
      <c r="M249" s="11" t="str">
        <f>IF(L249&lt;&gt;"EXCLUDE","",IF(G249="No","Wrong domain (non-AECO)",IF(H249="No","Digital Twin not core / buzzword",IF(I249="No","No Design for Safety/Quality/PtD",IF(J249="No","Wrong publication type",IF(K249="No","Non-English",""))))))</f>
        <v/>
      </c>
      <c r="N249" s="12"/>
      <c r="O249" s="12"/>
      <c r="P249" s="13"/>
      <c r="Q249" s="13"/>
      <c r="R249" s="13"/>
      <c r="S249" s="11" t="str">
        <f>IF(N249&lt;&gt;"Yes","",IF(COUNTBLANK(P249:R249)=3,"",IF(COUNTIF(P249:R249,"No")&gt;0,"EXCLUDE","INCLUDE")))</f>
        <v/>
      </c>
      <c r="T249" s="11" t="str">
        <f>IF(S249&lt;&gt;"EXCLUDE","",IF(P249="No","Digital Twin mentioned only, not the subject",IF(Q249="No","No Design for Safety/Quality in full text",IF(R249="No","Methodology not codable",""))))</f>
        <v/>
      </c>
      <c r="U249" s="14"/>
      <c r="V249" s="14"/>
      <c r="W249" s="14"/>
      <c r="X249" s="14"/>
      <c r="Y249" s="11" t="str">
        <f>IF(SUM(V249:X249)=0,"",IF(SUM(V249:X249)&gt;=2,"Multi","Single"))</f>
        <v/>
      </c>
      <c r="Z249" s="14"/>
      <c r="AA249" s="14"/>
      <c r="AB249" s="14"/>
      <c r="AC249" s="14"/>
      <c r="AD249" s="14"/>
      <c r="AE249" s="14"/>
      <c r="AF249" s="14"/>
      <c r="AG249" s="15"/>
    </row>
    <row r="250" spans="1:33">
      <c r="A250" s="8" t="s">
        <v>374</v>
      </c>
      <c r="B250" s="9"/>
      <c r="C250" s="8"/>
      <c r="D250" s="9"/>
      <c r="E250" s="9"/>
      <c r="F250" s="8"/>
      <c r="G250" s="10"/>
      <c r="H250" s="10"/>
      <c r="I250" s="10"/>
      <c r="J250" s="10"/>
      <c r="K250" s="10"/>
      <c r="L250" s="11" t="str">
        <f>IF(COUNTBLANK(G250:K250)=5,"",IF(COUNTIF(G250:K250,"No")&gt;0,"EXCLUDE","INCLUDE"))</f>
        <v/>
      </c>
      <c r="M250" s="11" t="str">
        <f>IF(L250&lt;&gt;"EXCLUDE","",IF(G250="No","Wrong domain (non-AECO)",IF(H250="No","Digital Twin not core / buzzword",IF(I250="No","No Design for Safety/Quality/PtD",IF(J250="No","Wrong publication type",IF(K250="No","Non-English",""))))))</f>
        <v/>
      </c>
      <c r="N250" s="12"/>
      <c r="O250" s="12"/>
      <c r="P250" s="13"/>
      <c r="Q250" s="13"/>
      <c r="R250" s="13"/>
      <c r="S250" s="11" t="str">
        <f>IF(N250&lt;&gt;"Yes","",IF(COUNTBLANK(P250:R250)=3,"",IF(COUNTIF(P250:R250,"No")&gt;0,"EXCLUDE","INCLUDE")))</f>
        <v/>
      </c>
      <c r="T250" s="11" t="str">
        <f>IF(S250&lt;&gt;"EXCLUDE","",IF(P250="No","Digital Twin mentioned only, not the subject",IF(Q250="No","No Design for Safety/Quality in full text",IF(R250="No","Methodology not codable",""))))</f>
        <v/>
      </c>
      <c r="U250" s="14"/>
      <c r="V250" s="14"/>
      <c r="W250" s="14"/>
      <c r="X250" s="14"/>
      <c r="Y250" s="11" t="str">
        <f>IF(SUM(V250:X250)=0,"",IF(SUM(V250:X250)&gt;=2,"Multi","Single"))</f>
        <v/>
      </c>
      <c r="Z250" s="14"/>
      <c r="AA250" s="14"/>
      <c r="AB250" s="14"/>
      <c r="AC250" s="14"/>
      <c r="AD250" s="14"/>
      <c r="AE250" s="14"/>
      <c r="AF250" s="14"/>
      <c r="AG250" s="15"/>
    </row>
    <row r="251" spans="1:33">
      <c r="A251" s="8" t="s">
        <v>375</v>
      </c>
      <c r="B251" s="9"/>
      <c r="C251" s="8"/>
      <c r="D251" s="9"/>
      <c r="E251" s="9"/>
      <c r="F251" s="8"/>
      <c r="G251" s="10"/>
      <c r="H251" s="10"/>
      <c r="I251" s="10"/>
      <c r="J251" s="10"/>
      <c r="K251" s="10"/>
      <c r="L251" s="11" t="str">
        <f>IF(COUNTBLANK(G251:K251)=5,"",IF(COUNTIF(G251:K251,"No")&gt;0,"EXCLUDE","INCLUDE"))</f>
        <v/>
      </c>
      <c r="M251" s="11" t="str">
        <f>IF(L251&lt;&gt;"EXCLUDE","",IF(G251="No","Wrong domain (non-AECO)",IF(H251="No","Digital Twin not core / buzzword",IF(I251="No","No Design for Safety/Quality/PtD",IF(J251="No","Wrong publication type",IF(K251="No","Non-English",""))))))</f>
        <v/>
      </c>
      <c r="N251" s="12"/>
      <c r="O251" s="12"/>
      <c r="P251" s="13"/>
      <c r="Q251" s="13"/>
      <c r="R251" s="13"/>
      <c r="S251" s="11" t="str">
        <f>IF(N251&lt;&gt;"Yes","",IF(COUNTBLANK(P251:R251)=3,"",IF(COUNTIF(P251:R251,"No")&gt;0,"EXCLUDE","INCLUDE")))</f>
        <v/>
      </c>
      <c r="T251" s="11" t="str">
        <f>IF(S251&lt;&gt;"EXCLUDE","",IF(P251="No","Digital Twin mentioned only, not the subject",IF(Q251="No","No Design for Safety/Quality in full text",IF(R251="No","Methodology not codable",""))))</f>
        <v/>
      </c>
      <c r="U251" s="14"/>
      <c r="V251" s="14"/>
      <c r="W251" s="14"/>
      <c r="X251" s="14"/>
      <c r="Y251" s="11" t="str">
        <f>IF(SUM(V251:X251)=0,"",IF(SUM(V251:X251)&gt;=2,"Multi","Single"))</f>
        <v/>
      </c>
      <c r="Z251" s="14"/>
      <c r="AA251" s="14"/>
      <c r="AB251" s="14"/>
      <c r="AC251" s="14"/>
      <c r="AD251" s="14"/>
      <c r="AE251" s="14"/>
      <c r="AF251" s="14"/>
      <c r="AG251" s="15"/>
    </row>
    <row r="252" spans="1:33">
      <c r="A252" s="8" t="s">
        <v>376</v>
      </c>
      <c r="B252" s="9"/>
      <c r="C252" s="8"/>
      <c r="D252" s="9"/>
      <c r="E252" s="9"/>
      <c r="F252" s="8"/>
      <c r="G252" s="10"/>
      <c r="H252" s="10"/>
      <c r="I252" s="10"/>
      <c r="J252" s="10"/>
      <c r="K252" s="10"/>
      <c r="L252" s="11" t="str">
        <f>IF(COUNTBLANK(G252:K252)=5,"",IF(COUNTIF(G252:K252,"No")&gt;0,"EXCLUDE","INCLUDE"))</f>
        <v/>
      </c>
      <c r="M252" s="11" t="str">
        <f>IF(L252&lt;&gt;"EXCLUDE","",IF(G252="No","Wrong domain (non-AECO)",IF(H252="No","Digital Twin not core / buzzword",IF(I252="No","No Design for Safety/Quality/PtD",IF(J252="No","Wrong publication type",IF(K252="No","Non-English",""))))))</f>
        <v/>
      </c>
      <c r="N252" s="12"/>
      <c r="O252" s="12"/>
      <c r="P252" s="13"/>
      <c r="Q252" s="13"/>
      <c r="R252" s="13"/>
      <c r="S252" s="11" t="str">
        <f>IF(N252&lt;&gt;"Yes","",IF(COUNTBLANK(P252:R252)=3,"",IF(COUNTIF(P252:R252,"No")&gt;0,"EXCLUDE","INCLUDE")))</f>
        <v/>
      </c>
      <c r="T252" s="11" t="str">
        <f>IF(S252&lt;&gt;"EXCLUDE","",IF(P252="No","Digital Twin mentioned only, not the subject",IF(Q252="No","No Design for Safety/Quality in full text",IF(R252="No","Methodology not codable",""))))</f>
        <v/>
      </c>
      <c r="U252" s="14"/>
      <c r="V252" s="14"/>
      <c r="W252" s="14"/>
      <c r="X252" s="14"/>
      <c r="Y252" s="11" t="str">
        <f>IF(SUM(V252:X252)=0,"",IF(SUM(V252:X252)&gt;=2,"Multi","Single"))</f>
        <v/>
      </c>
      <c r="Z252" s="14"/>
      <c r="AA252" s="14"/>
      <c r="AB252" s="14"/>
      <c r="AC252" s="14"/>
      <c r="AD252" s="14"/>
      <c r="AE252" s="14"/>
      <c r="AF252" s="14"/>
      <c r="AG252" s="15"/>
    </row>
    <row r="253" spans="1:33">
      <c r="A253" s="8" t="s">
        <v>377</v>
      </c>
      <c r="B253" s="9"/>
      <c r="C253" s="8"/>
      <c r="D253" s="9"/>
      <c r="E253" s="9"/>
      <c r="F253" s="8"/>
      <c r="G253" s="10"/>
      <c r="H253" s="10"/>
      <c r="I253" s="10"/>
      <c r="J253" s="10"/>
      <c r="K253" s="10"/>
      <c r="L253" s="11" t="str">
        <f>IF(COUNTBLANK(G253:K253)=5,"",IF(COUNTIF(G253:K253,"No")&gt;0,"EXCLUDE","INCLUDE"))</f>
        <v/>
      </c>
      <c r="M253" s="11" t="str">
        <f>IF(L253&lt;&gt;"EXCLUDE","",IF(G253="No","Wrong domain (non-AECO)",IF(H253="No","Digital Twin not core / buzzword",IF(I253="No","No Design for Safety/Quality/PtD",IF(J253="No","Wrong publication type",IF(K253="No","Non-English",""))))))</f>
        <v/>
      </c>
      <c r="N253" s="12"/>
      <c r="O253" s="12"/>
      <c r="P253" s="13"/>
      <c r="Q253" s="13"/>
      <c r="R253" s="13"/>
      <c r="S253" s="11" t="str">
        <f>IF(N253&lt;&gt;"Yes","",IF(COUNTBLANK(P253:R253)=3,"",IF(COUNTIF(P253:R253,"No")&gt;0,"EXCLUDE","INCLUDE")))</f>
        <v/>
      </c>
      <c r="T253" s="11" t="str">
        <f>IF(S253&lt;&gt;"EXCLUDE","",IF(P253="No","Digital Twin mentioned only, not the subject",IF(Q253="No","No Design for Safety/Quality in full text",IF(R253="No","Methodology not codable",""))))</f>
        <v/>
      </c>
      <c r="U253" s="14"/>
      <c r="V253" s="14"/>
      <c r="W253" s="14"/>
      <c r="X253" s="14"/>
      <c r="Y253" s="11" t="str">
        <f>IF(SUM(V253:X253)=0,"",IF(SUM(V253:X253)&gt;=2,"Multi","Single"))</f>
        <v/>
      </c>
      <c r="Z253" s="14"/>
      <c r="AA253" s="14"/>
      <c r="AB253" s="14"/>
      <c r="AC253" s="14"/>
      <c r="AD253" s="14"/>
      <c r="AE253" s="14"/>
      <c r="AF253" s="14"/>
      <c r="AG253" s="15"/>
    </row>
    <row r="254" spans="1:33">
      <c r="A254" s="8" t="s">
        <v>378</v>
      </c>
      <c r="B254" s="9"/>
      <c r="C254" s="8"/>
      <c r="D254" s="9"/>
      <c r="E254" s="9"/>
      <c r="F254" s="8"/>
      <c r="G254" s="10"/>
      <c r="H254" s="10"/>
      <c r="I254" s="10"/>
      <c r="J254" s="10"/>
      <c r="K254" s="10"/>
      <c r="L254" s="11" t="str">
        <f>IF(COUNTBLANK(G254:K254)=5,"",IF(COUNTIF(G254:K254,"No")&gt;0,"EXCLUDE","INCLUDE"))</f>
        <v/>
      </c>
      <c r="M254" s="11" t="str">
        <f>IF(L254&lt;&gt;"EXCLUDE","",IF(G254="No","Wrong domain (non-AECO)",IF(H254="No","Digital Twin not core / buzzword",IF(I254="No","No Design for Safety/Quality/PtD",IF(J254="No","Wrong publication type",IF(K254="No","Non-English",""))))))</f>
        <v/>
      </c>
      <c r="N254" s="12"/>
      <c r="O254" s="12"/>
      <c r="P254" s="13"/>
      <c r="Q254" s="13"/>
      <c r="R254" s="13"/>
      <c r="S254" s="11" t="str">
        <f>IF(N254&lt;&gt;"Yes","",IF(COUNTBLANK(P254:R254)=3,"",IF(COUNTIF(P254:R254,"No")&gt;0,"EXCLUDE","INCLUDE")))</f>
        <v/>
      </c>
      <c r="T254" s="11" t="str">
        <f>IF(S254&lt;&gt;"EXCLUDE","",IF(P254="No","Digital Twin mentioned only, not the subject",IF(Q254="No","No Design for Safety/Quality in full text",IF(R254="No","Methodology not codable",""))))</f>
        <v/>
      </c>
      <c r="U254" s="14"/>
      <c r="V254" s="14"/>
      <c r="W254" s="14"/>
      <c r="X254" s="14"/>
      <c r="Y254" s="11" t="str">
        <f>IF(SUM(V254:X254)=0,"",IF(SUM(V254:X254)&gt;=2,"Multi","Single"))</f>
        <v/>
      </c>
      <c r="Z254" s="14"/>
      <c r="AA254" s="14"/>
      <c r="AB254" s="14"/>
      <c r="AC254" s="14"/>
      <c r="AD254" s="14"/>
      <c r="AE254" s="14"/>
      <c r="AF254" s="14"/>
      <c r="AG254" s="15"/>
    </row>
    <row r="255" spans="1:33">
      <c r="A255" s="8" t="s">
        <v>379</v>
      </c>
      <c r="B255" s="9"/>
      <c r="C255" s="8"/>
      <c r="D255" s="9"/>
      <c r="E255" s="9"/>
      <c r="F255" s="8"/>
      <c r="G255" s="10"/>
      <c r="H255" s="10"/>
      <c r="I255" s="10"/>
      <c r="J255" s="10"/>
      <c r="K255" s="10"/>
      <c r="L255" s="11" t="str">
        <f>IF(COUNTBLANK(G255:K255)=5,"",IF(COUNTIF(G255:K255,"No")&gt;0,"EXCLUDE","INCLUDE"))</f>
        <v/>
      </c>
      <c r="M255" s="11" t="str">
        <f>IF(L255&lt;&gt;"EXCLUDE","",IF(G255="No","Wrong domain (non-AECO)",IF(H255="No","Digital Twin not core / buzzword",IF(I255="No","No Design for Safety/Quality/PtD",IF(J255="No","Wrong publication type",IF(K255="No","Non-English",""))))))</f>
        <v/>
      </c>
      <c r="N255" s="12"/>
      <c r="O255" s="12"/>
      <c r="P255" s="13"/>
      <c r="Q255" s="13"/>
      <c r="R255" s="13"/>
      <c r="S255" s="11" t="str">
        <f>IF(N255&lt;&gt;"Yes","",IF(COUNTBLANK(P255:R255)=3,"",IF(COUNTIF(P255:R255,"No")&gt;0,"EXCLUDE","INCLUDE")))</f>
        <v/>
      </c>
      <c r="T255" s="11" t="str">
        <f>IF(S255&lt;&gt;"EXCLUDE","",IF(P255="No","Digital Twin mentioned only, not the subject",IF(Q255="No","No Design for Safety/Quality in full text",IF(R255="No","Methodology not codable",""))))</f>
        <v/>
      </c>
      <c r="U255" s="14"/>
      <c r="V255" s="14"/>
      <c r="W255" s="14"/>
      <c r="X255" s="14"/>
      <c r="Y255" s="11" t="str">
        <f>IF(SUM(V255:X255)=0,"",IF(SUM(V255:X255)&gt;=2,"Multi","Single"))</f>
        <v/>
      </c>
      <c r="Z255" s="14"/>
      <c r="AA255" s="14"/>
      <c r="AB255" s="14"/>
      <c r="AC255" s="14"/>
      <c r="AD255" s="14"/>
      <c r="AE255" s="14"/>
      <c r="AF255" s="14"/>
      <c r="AG255" s="15"/>
    </row>
    <row r="256" spans="1:33">
      <c r="A256" s="8" t="s">
        <v>380</v>
      </c>
      <c r="B256" s="9"/>
      <c r="C256" s="8"/>
      <c r="D256" s="9"/>
      <c r="E256" s="9"/>
      <c r="F256" s="8"/>
      <c r="G256" s="10"/>
      <c r="H256" s="10"/>
      <c r="I256" s="10"/>
      <c r="J256" s="10"/>
      <c r="K256" s="10"/>
      <c r="L256" s="11" t="str">
        <f>IF(COUNTBLANK(G256:K256)=5,"",IF(COUNTIF(G256:K256,"No")&gt;0,"EXCLUDE","INCLUDE"))</f>
        <v/>
      </c>
      <c r="M256" s="11" t="str">
        <f>IF(L256&lt;&gt;"EXCLUDE","",IF(G256="No","Wrong domain (non-AECO)",IF(H256="No","Digital Twin not core / buzzword",IF(I256="No","No Design for Safety/Quality/PtD",IF(J256="No","Wrong publication type",IF(K256="No","Non-English",""))))))</f>
        <v/>
      </c>
      <c r="N256" s="12"/>
      <c r="O256" s="12"/>
      <c r="P256" s="13"/>
      <c r="Q256" s="13"/>
      <c r="R256" s="13"/>
      <c r="S256" s="11" t="str">
        <f>IF(N256&lt;&gt;"Yes","",IF(COUNTBLANK(P256:R256)=3,"",IF(COUNTIF(P256:R256,"No")&gt;0,"EXCLUDE","INCLUDE")))</f>
        <v/>
      </c>
      <c r="T256" s="11" t="str">
        <f>IF(S256&lt;&gt;"EXCLUDE","",IF(P256="No","Digital Twin mentioned only, not the subject",IF(Q256="No","No Design for Safety/Quality in full text",IF(R256="No","Methodology not codable",""))))</f>
        <v/>
      </c>
      <c r="U256" s="14"/>
      <c r="V256" s="14"/>
      <c r="W256" s="14"/>
      <c r="X256" s="14"/>
      <c r="Y256" s="11" t="str">
        <f>IF(SUM(V256:X256)=0,"",IF(SUM(V256:X256)&gt;=2,"Multi","Single"))</f>
        <v/>
      </c>
      <c r="Z256" s="14"/>
      <c r="AA256" s="14"/>
      <c r="AB256" s="14"/>
      <c r="AC256" s="14"/>
      <c r="AD256" s="14"/>
      <c r="AE256" s="14"/>
      <c r="AF256" s="14"/>
      <c r="AG256" s="15"/>
    </row>
    <row r="257" spans="1:33">
      <c r="A257" s="8" t="s">
        <v>381</v>
      </c>
      <c r="B257" s="9"/>
      <c r="C257" s="8"/>
      <c r="D257" s="9"/>
      <c r="E257" s="9"/>
      <c r="F257" s="8"/>
      <c r="G257" s="10"/>
      <c r="H257" s="10"/>
      <c r="I257" s="10"/>
      <c r="J257" s="10"/>
      <c r="K257" s="10"/>
      <c r="L257" s="11" t="str">
        <f>IF(COUNTBLANK(G257:K257)=5,"",IF(COUNTIF(G257:K257,"No")&gt;0,"EXCLUDE","INCLUDE"))</f>
        <v/>
      </c>
      <c r="M257" s="11" t="str">
        <f>IF(L257&lt;&gt;"EXCLUDE","",IF(G257="No","Wrong domain (non-AECO)",IF(H257="No","Digital Twin not core / buzzword",IF(I257="No","No Design for Safety/Quality/PtD",IF(J257="No","Wrong publication type",IF(K257="No","Non-English",""))))))</f>
        <v/>
      </c>
      <c r="N257" s="12"/>
      <c r="O257" s="12"/>
      <c r="P257" s="13"/>
      <c r="Q257" s="13"/>
      <c r="R257" s="13"/>
      <c r="S257" s="11" t="str">
        <f>IF(N257&lt;&gt;"Yes","",IF(COUNTBLANK(P257:R257)=3,"",IF(COUNTIF(P257:R257,"No")&gt;0,"EXCLUDE","INCLUDE")))</f>
        <v/>
      </c>
      <c r="T257" s="11" t="str">
        <f>IF(S257&lt;&gt;"EXCLUDE","",IF(P257="No","Digital Twin mentioned only, not the subject",IF(Q257="No","No Design for Safety/Quality in full text",IF(R257="No","Methodology not codable",""))))</f>
        <v/>
      </c>
      <c r="U257" s="14"/>
      <c r="V257" s="14"/>
      <c r="W257" s="14"/>
      <c r="X257" s="14"/>
      <c r="Y257" s="11" t="str">
        <f>IF(SUM(V257:X257)=0,"",IF(SUM(V257:X257)&gt;=2,"Multi","Single"))</f>
        <v/>
      </c>
      <c r="Z257" s="14"/>
      <c r="AA257" s="14"/>
      <c r="AB257" s="14"/>
      <c r="AC257" s="14"/>
      <c r="AD257" s="14"/>
      <c r="AE257" s="14"/>
      <c r="AF257" s="14"/>
      <c r="AG257" s="15"/>
    </row>
    <row r="258" spans="1:33">
      <c r="A258" s="8" t="s">
        <v>382</v>
      </c>
      <c r="B258" s="9"/>
      <c r="C258" s="8"/>
      <c r="D258" s="9"/>
      <c r="E258" s="9"/>
      <c r="F258" s="8"/>
      <c r="G258" s="10"/>
      <c r="H258" s="10"/>
      <c r="I258" s="10"/>
      <c r="J258" s="10"/>
      <c r="K258" s="10"/>
      <c r="L258" s="11" t="str">
        <f>IF(COUNTBLANK(G258:K258)=5,"",IF(COUNTIF(G258:K258,"No")&gt;0,"EXCLUDE","INCLUDE"))</f>
        <v/>
      </c>
      <c r="M258" s="11" t="str">
        <f>IF(L258&lt;&gt;"EXCLUDE","",IF(G258="No","Wrong domain (non-AECO)",IF(H258="No","Digital Twin not core / buzzword",IF(I258="No","No Design for Safety/Quality/PtD",IF(J258="No","Wrong publication type",IF(K258="No","Non-English",""))))))</f>
        <v/>
      </c>
      <c r="N258" s="12"/>
      <c r="O258" s="12"/>
      <c r="P258" s="13"/>
      <c r="Q258" s="13"/>
      <c r="R258" s="13"/>
      <c r="S258" s="11" t="str">
        <f>IF(N258&lt;&gt;"Yes","",IF(COUNTBLANK(P258:R258)=3,"",IF(COUNTIF(P258:R258,"No")&gt;0,"EXCLUDE","INCLUDE")))</f>
        <v/>
      </c>
      <c r="T258" s="11" t="str">
        <f>IF(S258&lt;&gt;"EXCLUDE","",IF(P258="No","Digital Twin mentioned only, not the subject",IF(Q258="No","No Design for Safety/Quality in full text",IF(R258="No","Methodology not codable",""))))</f>
        <v/>
      </c>
      <c r="U258" s="14"/>
      <c r="V258" s="14"/>
      <c r="W258" s="14"/>
      <c r="X258" s="14"/>
      <c r="Y258" s="11" t="str">
        <f>IF(SUM(V258:X258)=0,"",IF(SUM(V258:X258)&gt;=2,"Multi","Single"))</f>
        <v/>
      </c>
      <c r="Z258" s="14"/>
      <c r="AA258" s="14"/>
      <c r="AB258" s="14"/>
      <c r="AC258" s="14"/>
      <c r="AD258" s="14"/>
      <c r="AE258" s="14"/>
      <c r="AF258" s="14"/>
      <c r="AG258" s="15"/>
    </row>
    <row r="259" spans="1:33">
      <c r="A259" s="8" t="s">
        <v>383</v>
      </c>
      <c r="B259" s="9"/>
      <c r="C259" s="8"/>
      <c r="D259" s="9"/>
      <c r="E259" s="9"/>
      <c r="F259" s="8"/>
      <c r="G259" s="10"/>
      <c r="H259" s="10"/>
      <c r="I259" s="10"/>
      <c r="J259" s="10"/>
      <c r="K259" s="10"/>
      <c r="L259" s="11" t="str">
        <f>IF(COUNTBLANK(G259:K259)=5,"",IF(COUNTIF(G259:K259,"No")&gt;0,"EXCLUDE","INCLUDE"))</f>
        <v/>
      </c>
      <c r="M259" s="11" t="str">
        <f>IF(L259&lt;&gt;"EXCLUDE","",IF(G259="No","Wrong domain (non-AECO)",IF(H259="No","Digital Twin not core / buzzword",IF(I259="No","No Design for Safety/Quality/PtD",IF(J259="No","Wrong publication type",IF(K259="No","Non-English",""))))))</f>
        <v/>
      </c>
      <c r="N259" s="12"/>
      <c r="O259" s="12"/>
      <c r="P259" s="13"/>
      <c r="Q259" s="13"/>
      <c r="R259" s="13"/>
      <c r="S259" s="11" t="str">
        <f>IF(N259&lt;&gt;"Yes","",IF(COUNTBLANK(P259:R259)=3,"",IF(COUNTIF(P259:R259,"No")&gt;0,"EXCLUDE","INCLUDE")))</f>
        <v/>
      </c>
      <c r="T259" s="11" t="str">
        <f>IF(S259&lt;&gt;"EXCLUDE","",IF(P259="No","Digital Twin mentioned only, not the subject",IF(Q259="No","No Design for Safety/Quality in full text",IF(R259="No","Methodology not codable",""))))</f>
        <v/>
      </c>
      <c r="U259" s="14"/>
      <c r="V259" s="14"/>
      <c r="W259" s="14"/>
      <c r="X259" s="14"/>
      <c r="Y259" s="11" t="str">
        <f>IF(SUM(V259:X259)=0,"",IF(SUM(V259:X259)&gt;=2,"Multi","Single"))</f>
        <v/>
      </c>
      <c r="Z259" s="14"/>
      <c r="AA259" s="14"/>
      <c r="AB259" s="14"/>
      <c r="AC259" s="14"/>
      <c r="AD259" s="14"/>
      <c r="AE259" s="14"/>
      <c r="AF259" s="14"/>
      <c r="AG259" s="15"/>
    </row>
    <row r="260" spans="1:33">
      <c r="A260" s="8" t="s">
        <v>384</v>
      </c>
      <c r="B260" s="9"/>
      <c r="C260" s="8"/>
      <c r="D260" s="9"/>
      <c r="E260" s="9"/>
      <c r="F260" s="8"/>
      <c r="G260" s="10"/>
      <c r="H260" s="10"/>
      <c r="I260" s="10"/>
      <c r="J260" s="10"/>
      <c r="K260" s="10"/>
      <c r="L260" s="11" t="str">
        <f>IF(COUNTBLANK(G260:K260)=5,"",IF(COUNTIF(G260:K260,"No")&gt;0,"EXCLUDE","INCLUDE"))</f>
        <v/>
      </c>
      <c r="M260" s="11" t="str">
        <f>IF(L260&lt;&gt;"EXCLUDE","",IF(G260="No","Wrong domain (non-AECO)",IF(H260="No","Digital Twin not core / buzzword",IF(I260="No","No Design for Safety/Quality/PtD",IF(J260="No","Wrong publication type",IF(K260="No","Non-English",""))))))</f>
        <v/>
      </c>
      <c r="N260" s="12"/>
      <c r="O260" s="12"/>
      <c r="P260" s="13"/>
      <c r="Q260" s="13"/>
      <c r="R260" s="13"/>
      <c r="S260" s="11" t="str">
        <f>IF(N260&lt;&gt;"Yes","",IF(COUNTBLANK(P260:R260)=3,"",IF(COUNTIF(P260:R260,"No")&gt;0,"EXCLUDE","INCLUDE")))</f>
        <v/>
      </c>
      <c r="T260" s="11" t="str">
        <f>IF(S260&lt;&gt;"EXCLUDE","",IF(P260="No","Digital Twin mentioned only, not the subject",IF(Q260="No","No Design for Safety/Quality in full text",IF(R260="No","Methodology not codable",""))))</f>
        <v/>
      </c>
      <c r="U260" s="14"/>
      <c r="V260" s="14"/>
      <c r="W260" s="14"/>
      <c r="X260" s="14"/>
      <c r="Y260" s="11" t="str">
        <f>IF(SUM(V260:X260)=0,"",IF(SUM(V260:X260)&gt;=2,"Multi","Single"))</f>
        <v/>
      </c>
      <c r="Z260" s="14"/>
      <c r="AA260" s="14"/>
      <c r="AB260" s="14"/>
      <c r="AC260" s="14"/>
      <c r="AD260" s="14"/>
      <c r="AE260" s="14"/>
      <c r="AF260" s="14"/>
      <c r="AG260" s="15"/>
    </row>
    <row r="261" spans="1:33">
      <c r="A261" s="8" t="s">
        <v>385</v>
      </c>
      <c r="B261" s="9"/>
      <c r="C261" s="8"/>
      <c r="D261" s="9"/>
      <c r="E261" s="9"/>
      <c r="F261" s="8"/>
      <c r="G261" s="10"/>
      <c r="H261" s="10"/>
      <c r="I261" s="10"/>
      <c r="J261" s="10"/>
      <c r="K261" s="10"/>
      <c r="L261" s="11" t="str">
        <f>IF(COUNTBLANK(G261:K261)=5,"",IF(COUNTIF(G261:K261,"No")&gt;0,"EXCLUDE","INCLUDE"))</f>
        <v/>
      </c>
      <c r="M261" s="11" t="str">
        <f>IF(L261&lt;&gt;"EXCLUDE","",IF(G261="No","Wrong domain (non-AECO)",IF(H261="No","Digital Twin not core / buzzword",IF(I261="No","No Design for Safety/Quality/PtD",IF(J261="No","Wrong publication type",IF(K261="No","Non-English",""))))))</f>
        <v/>
      </c>
      <c r="N261" s="12"/>
      <c r="O261" s="12"/>
      <c r="P261" s="13"/>
      <c r="Q261" s="13"/>
      <c r="R261" s="13"/>
      <c r="S261" s="11" t="str">
        <f>IF(N261&lt;&gt;"Yes","",IF(COUNTBLANK(P261:R261)=3,"",IF(COUNTIF(P261:R261,"No")&gt;0,"EXCLUDE","INCLUDE")))</f>
        <v/>
      </c>
      <c r="T261" s="11" t="str">
        <f>IF(S261&lt;&gt;"EXCLUDE","",IF(P261="No","Digital Twin mentioned only, not the subject",IF(Q261="No","No Design for Safety/Quality in full text",IF(R261="No","Methodology not codable",""))))</f>
        <v/>
      </c>
      <c r="U261" s="14"/>
      <c r="V261" s="14"/>
      <c r="W261" s="14"/>
      <c r="X261" s="14"/>
      <c r="Y261" s="11" t="str">
        <f>IF(SUM(V261:X261)=0,"",IF(SUM(V261:X261)&gt;=2,"Multi","Single"))</f>
        <v/>
      </c>
      <c r="Z261" s="14"/>
      <c r="AA261" s="14"/>
      <c r="AB261" s="14"/>
      <c r="AC261" s="14"/>
      <c r="AD261" s="14"/>
      <c r="AE261" s="14"/>
      <c r="AF261" s="14"/>
      <c r="AG261" s="15"/>
    </row>
    <row r="262" spans="1:33">
      <c r="A262" s="8" t="s">
        <v>386</v>
      </c>
      <c r="B262" s="9"/>
      <c r="C262" s="8"/>
      <c r="D262" s="9"/>
      <c r="E262" s="9"/>
      <c r="F262" s="8"/>
      <c r="G262" s="10"/>
      <c r="H262" s="10"/>
      <c r="I262" s="10"/>
      <c r="J262" s="10"/>
      <c r="K262" s="10"/>
      <c r="L262" s="11" t="str">
        <f>IF(COUNTBLANK(G262:K262)=5,"",IF(COUNTIF(G262:K262,"No")&gt;0,"EXCLUDE","INCLUDE"))</f>
        <v/>
      </c>
      <c r="M262" s="11" t="str">
        <f>IF(L262&lt;&gt;"EXCLUDE","",IF(G262="No","Wrong domain (non-AECO)",IF(H262="No","Digital Twin not core / buzzword",IF(I262="No","No Design for Safety/Quality/PtD",IF(J262="No","Wrong publication type",IF(K262="No","Non-English",""))))))</f>
        <v/>
      </c>
      <c r="N262" s="12"/>
      <c r="O262" s="12"/>
      <c r="P262" s="13"/>
      <c r="Q262" s="13"/>
      <c r="R262" s="13"/>
      <c r="S262" s="11" t="str">
        <f>IF(N262&lt;&gt;"Yes","",IF(COUNTBLANK(P262:R262)=3,"",IF(COUNTIF(P262:R262,"No")&gt;0,"EXCLUDE","INCLUDE")))</f>
        <v/>
      </c>
      <c r="T262" s="11" t="str">
        <f>IF(S262&lt;&gt;"EXCLUDE","",IF(P262="No","Digital Twin mentioned only, not the subject",IF(Q262="No","No Design for Safety/Quality in full text",IF(R262="No","Methodology not codable",""))))</f>
        <v/>
      </c>
      <c r="U262" s="14"/>
      <c r="V262" s="14"/>
      <c r="W262" s="14"/>
      <c r="X262" s="14"/>
      <c r="Y262" s="11" t="str">
        <f>IF(SUM(V262:X262)=0,"",IF(SUM(V262:X262)&gt;=2,"Multi","Single"))</f>
        <v/>
      </c>
      <c r="Z262" s="14"/>
      <c r="AA262" s="14"/>
      <c r="AB262" s="14"/>
      <c r="AC262" s="14"/>
      <c r="AD262" s="14"/>
      <c r="AE262" s="14"/>
      <c r="AF262" s="14"/>
      <c r="AG262" s="15"/>
    </row>
    <row r="263" spans="1:33">
      <c r="A263" s="8" t="s">
        <v>387</v>
      </c>
      <c r="B263" s="9"/>
      <c r="C263" s="8"/>
      <c r="D263" s="9"/>
      <c r="E263" s="9"/>
      <c r="F263" s="8"/>
      <c r="G263" s="10"/>
      <c r="H263" s="10"/>
      <c r="I263" s="10"/>
      <c r="J263" s="10"/>
      <c r="K263" s="10"/>
      <c r="L263" s="11" t="str">
        <f>IF(COUNTBLANK(G263:K263)=5,"",IF(COUNTIF(G263:K263,"No")&gt;0,"EXCLUDE","INCLUDE"))</f>
        <v/>
      </c>
      <c r="M263" s="11" t="str">
        <f>IF(L263&lt;&gt;"EXCLUDE","",IF(G263="No","Wrong domain (non-AECO)",IF(H263="No","Digital Twin not core / buzzword",IF(I263="No","No Design for Safety/Quality/PtD",IF(J263="No","Wrong publication type",IF(K263="No","Non-English",""))))))</f>
        <v/>
      </c>
      <c r="N263" s="12"/>
      <c r="O263" s="12"/>
      <c r="P263" s="13"/>
      <c r="Q263" s="13"/>
      <c r="R263" s="13"/>
      <c r="S263" s="11" t="str">
        <f>IF(N263&lt;&gt;"Yes","",IF(COUNTBLANK(P263:R263)=3,"",IF(COUNTIF(P263:R263,"No")&gt;0,"EXCLUDE","INCLUDE")))</f>
        <v/>
      </c>
      <c r="T263" s="11" t="str">
        <f>IF(S263&lt;&gt;"EXCLUDE","",IF(P263="No","Digital Twin mentioned only, not the subject",IF(Q263="No","No Design for Safety/Quality in full text",IF(R263="No","Methodology not codable",""))))</f>
        <v/>
      </c>
      <c r="U263" s="14"/>
      <c r="V263" s="14"/>
      <c r="W263" s="14"/>
      <c r="X263" s="14"/>
      <c r="Y263" s="11" t="str">
        <f>IF(SUM(V263:X263)=0,"",IF(SUM(V263:X263)&gt;=2,"Multi","Single"))</f>
        <v/>
      </c>
      <c r="Z263" s="14"/>
      <c r="AA263" s="14"/>
      <c r="AB263" s="14"/>
      <c r="AC263" s="14"/>
      <c r="AD263" s="14"/>
      <c r="AE263" s="14"/>
      <c r="AF263" s="14"/>
      <c r="AG263" s="15"/>
    </row>
    <row r="264" spans="1:33">
      <c r="A264" s="8" t="s">
        <v>388</v>
      </c>
      <c r="B264" s="9"/>
      <c r="C264" s="8"/>
      <c r="D264" s="9"/>
      <c r="E264" s="9"/>
      <c r="F264" s="8"/>
      <c r="G264" s="10"/>
      <c r="H264" s="10"/>
      <c r="I264" s="10"/>
      <c r="J264" s="10"/>
      <c r="K264" s="10"/>
      <c r="L264" s="11" t="str">
        <f>IF(COUNTBLANK(G264:K264)=5,"",IF(COUNTIF(G264:K264,"No")&gt;0,"EXCLUDE","INCLUDE"))</f>
        <v/>
      </c>
      <c r="M264" s="11" t="str">
        <f>IF(L264&lt;&gt;"EXCLUDE","",IF(G264="No","Wrong domain (non-AECO)",IF(H264="No","Digital Twin not core / buzzword",IF(I264="No","No Design for Safety/Quality/PtD",IF(J264="No","Wrong publication type",IF(K264="No","Non-English",""))))))</f>
        <v/>
      </c>
      <c r="N264" s="12"/>
      <c r="O264" s="12"/>
      <c r="P264" s="13"/>
      <c r="Q264" s="13"/>
      <c r="R264" s="13"/>
      <c r="S264" s="11" t="str">
        <f>IF(N264&lt;&gt;"Yes","",IF(COUNTBLANK(P264:R264)=3,"",IF(COUNTIF(P264:R264,"No")&gt;0,"EXCLUDE","INCLUDE")))</f>
        <v/>
      </c>
      <c r="T264" s="11" t="str">
        <f>IF(S264&lt;&gt;"EXCLUDE","",IF(P264="No","Digital Twin mentioned only, not the subject",IF(Q264="No","No Design for Safety/Quality in full text",IF(R264="No","Methodology not codable",""))))</f>
        <v/>
      </c>
      <c r="U264" s="14"/>
      <c r="V264" s="14"/>
      <c r="W264" s="14"/>
      <c r="X264" s="14"/>
      <c r="Y264" s="11" t="str">
        <f>IF(SUM(V264:X264)=0,"",IF(SUM(V264:X264)&gt;=2,"Multi","Single"))</f>
        <v/>
      </c>
      <c r="Z264" s="14"/>
      <c r="AA264" s="14"/>
      <c r="AB264" s="14"/>
      <c r="AC264" s="14"/>
      <c r="AD264" s="14"/>
      <c r="AE264" s="14"/>
      <c r="AF264" s="14"/>
      <c r="AG264" s="15"/>
    </row>
    <row r="265" spans="1:33">
      <c r="A265" s="8" t="s">
        <v>389</v>
      </c>
      <c r="B265" s="9"/>
      <c r="C265" s="8"/>
      <c r="D265" s="9"/>
      <c r="E265" s="9"/>
      <c r="F265" s="8"/>
      <c r="G265" s="10"/>
      <c r="H265" s="10"/>
      <c r="I265" s="10"/>
      <c r="J265" s="10"/>
      <c r="K265" s="10"/>
      <c r="L265" s="11" t="str">
        <f>IF(COUNTBLANK(G265:K265)=5,"",IF(COUNTIF(G265:K265,"No")&gt;0,"EXCLUDE","INCLUDE"))</f>
        <v/>
      </c>
      <c r="M265" s="11" t="str">
        <f>IF(L265&lt;&gt;"EXCLUDE","",IF(G265="No","Wrong domain (non-AECO)",IF(H265="No","Digital Twin not core / buzzword",IF(I265="No","No Design for Safety/Quality/PtD",IF(J265="No","Wrong publication type",IF(K265="No","Non-English",""))))))</f>
        <v/>
      </c>
      <c r="N265" s="12"/>
      <c r="O265" s="12"/>
      <c r="P265" s="13"/>
      <c r="Q265" s="13"/>
      <c r="R265" s="13"/>
      <c r="S265" s="11" t="str">
        <f>IF(N265&lt;&gt;"Yes","",IF(COUNTBLANK(P265:R265)=3,"",IF(COUNTIF(P265:R265,"No")&gt;0,"EXCLUDE","INCLUDE")))</f>
        <v/>
      </c>
      <c r="T265" s="11" t="str">
        <f>IF(S265&lt;&gt;"EXCLUDE","",IF(P265="No","Digital Twin mentioned only, not the subject",IF(Q265="No","No Design for Safety/Quality in full text",IF(R265="No","Methodology not codable",""))))</f>
        <v/>
      </c>
      <c r="U265" s="14"/>
      <c r="V265" s="14"/>
      <c r="W265" s="14"/>
      <c r="X265" s="14"/>
      <c r="Y265" s="11" t="str">
        <f>IF(SUM(V265:X265)=0,"",IF(SUM(V265:X265)&gt;=2,"Multi","Single"))</f>
        <v/>
      </c>
      <c r="Z265" s="14"/>
      <c r="AA265" s="14"/>
      <c r="AB265" s="14"/>
      <c r="AC265" s="14"/>
      <c r="AD265" s="14"/>
      <c r="AE265" s="14"/>
      <c r="AF265" s="14"/>
      <c r="AG265" s="15"/>
    </row>
    <row r="266" spans="1:33">
      <c r="A266" s="8" t="s">
        <v>390</v>
      </c>
      <c r="B266" s="9"/>
      <c r="C266" s="8"/>
      <c r="D266" s="9"/>
      <c r="E266" s="9"/>
      <c r="F266" s="8"/>
      <c r="G266" s="10"/>
      <c r="H266" s="10"/>
      <c r="I266" s="10"/>
      <c r="J266" s="10"/>
      <c r="K266" s="10"/>
      <c r="L266" s="11" t="str">
        <f>IF(COUNTBLANK(G266:K266)=5,"",IF(COUNTIF(G266:K266,"No")&gt;0,"EXCLUDE","INCLUDE"))</f>
        <v/>
      </c>
      <c r="M266" s="11" t="str">
        <f>IF(L266&lt;&gt;"EXCLUDE","",IF(G266="No","Wrong domain (non-AECO)",IF(H266="No","Digital Twin not core / buzzword",IF(I266="No","No Design for Safety/Quality/PtD",IF(J266="No","Wrong publication type",IF(K266="No","Non-English",""))))))</f>
        <v/>
      </c>
      <c r="N266" s="12"/>
      <c r="O266" s="12"/>
      <c r="P266" s="13"/>
      <c r="Q266" s="13"/>
      <c r="R266" s="13"/>
      <c r="S266" s="11" t="str">
        <f>IF(N266&lt;&gt;"Yes","",IF(COUNTBLANK(P266:R266)=3,"",IF(COUNTIF(P266:R266,"No")&gt;0,"EXCLUDE","INCLUDE")))</f>
        <v/>
      </c>
      <c r="T266" s="11" t="str">
        <f>IF(S266&lt;&gt;"EXCLUDE","",IF(P266="No","Digital Twin mentioned only, not the subject",IF(Q266="No","No Design for Safety/Quality in full text",IF(R266="No","Methodology not codable",""))))</f>
        <v/>
      </c>
      <c r="U266" s="14"/>
      <c r="V266" s="14"/>
      <c r="W266" s="14"/>
      <c r="X266" s="14"/>
      <c r="Y266" s="11" t="str">
        <f>IF(SUM(V266:X266)=0,"",IF(SUM(V266:X266)&gt;=2,"Multi","Single"))</f>
        <v/>
      </c>
      <c r="Z266" s="14"/>
      <c r="AA266" s="14"/>
      <c r="AB266" s="14"/>
      <c r="AC266" s="14"/>
      <c r="AD266" s="14"/>
      <c r="AE266" s="14"/>
      <c r="AF266" s="14"/>
      <c r="AG266" s="15"/>
    </row>
    <row r="267" spans="1:33">
      <c r="A267" s="8" t="s">
        <v>391</v>
      </c>
      <c r="B267" s="9"/>
      <c r="C267" s="8"/>
      <c r="D267" s="9"/>
      <c r="E267" s="9"/>
      <c r="F267" s="8"/>
      <c r="G267" s="10"/>
      <c r="H267" s="10"/>
      <c r="I267" s="10"/>
      <c r="J267" s="10"/>
      <c r="K267" s="10"/>
      <c r="L267" s="11" t="str">
        <f>IF(COUNTBLANK(G267:K267)=5,"",IF(COUNTIF(G267:K267,"No")&gt;0,"EXCLUDE","INCLUDE"))</f>
        <v/>
      </c>
      <c r="M267" s="11" t="str">
        <f>IF(L267&lt;&gt;"EXCLUDE","",IF(G267="No","Wrong domain (non-AECO)",IF(H267="No","Digital Twin not core / buzzword",IF(I267="No","No Design for Safety/Quality/PtD",IF(J267="No","Wrong publication type",IF(K267="No","Non-English",""))))))</f>
        <v/>
      </c>
      <c r="N267" s="12"/>
      <c r="O267" s="12"/>
      <c r="P267" s="13"/>
      <c r="Q267" s="13"/>
      <c r="R267" s="13"/>
      <c r="S267" s="11" t="str">
        <f>IF(N267&lt;&gt;"Yes","",IF(COUNTBLANK(P267:R267)=3,"",IF(COUNTIF(P267:R267,"No")&gt;0,"EXCLUDE","INCLUDE")))</f>
        <v/>
      </c>
      <c r="T267" s="11" t="str">
        <f>IF(S267&lt;&gt;"EXCLUDE","",IF(P267="No","Digital Twin mentioned only, not the subject",IF(Q267="No","No Design for Safety/Quality in full text",IF(R267="No","Methodology not codable",""))))</f>
        <v/>
      </c>
      <c r="U267" s="14"/>
      <c r="V267" s="14"/>
      <c r="W267" s="14"/>
      <c r="X267" s="14"/>
      <c r="Y267" s="11" t="str">
        <f>IF(SUM(V267:X267)=0,"",IF(SUM(V267:X267)&gt;=2,"Multi","Single"))</f>
        <v/>
      </c>
      <c r="Z267" s="14"/>
      <c r="AA267" s="14"/>
      <c r="AB267" s="14"/>
      <c r="AC267" s="14"/>
      <c r="AD267" s="14"/>
      <c r="AE267" s="14"/>
      <c r="AF267" s="14"/>
      <c r="AG267" s="15"/>
    </row>
    <row r="268" spans="1:33">
      <c r="A268" s="8" t="s">
        <v>392</v>
      </c>
      <c r="B268" s="9"/>
      <c r="C268" s="8"/>
      <c r="D268" s="9"/>
      <c r="E268" s="9"/>
      <c r="F268" s="8"/>
      <c r="G268" s="10"/>
      <c r="H268" s="10"/>
      <c r="I268" s="10"/>
      <c r="J268" s="10"/>
      <c r="K268" s="10"/>
      <c r="L268" s="11" t="str">
        <f>IF(COUNTBLANK(G268:K268)=5,"",IF(COUNTIF(G268:K268,"No")&gt;0,"EXCLUDE","INCLUDE"))</f>
        <v/>
      </c>
      <c r="M268" s="11" t="str">
        <f>IF(L268&lt;&gt;"EXCLUDE","",IF(G268="No","Wrong domain (non-AECO)",IF(H268="No","Digital Twin not core / buzzword",IF(I268="No","No Design for Safety/Quality/PtD",IF(J268="No","Wrong publication type",IF(K268="No","Non-English",""))))))</f>
        <v/>
      </c>
      <c r="N268" s="12"/>
      <c r="O268" s="12"/>
      <c r="P268" s="13"/>
      <c r="Q268" s="13"/>
      <c r="R268" s="13"/>
      <c r="S268" s="11" t="str">
        <f>IF(N268&lt;&gt;"Yes","",IF(COUNTBLANK(P268:R268)=3,"",IF(COUNTIF(P268:R268,"No")&gt;0,"EXCLUDE","INCLUDE")))</f>
        <v/>
      </c>
      <c r="T268" s="11" t="str">
        <f>IF(S268&lt;&gt;"EXCLUDE","",IF(P268="No","Digital Twin mentioned only, not the subject",IF(Q268="No","No Design for Safety/Quality in full text",IF(R268="No","Methodology not codable",""))))</f>
        <v/>
      </c>
      <c r="U268" s="14"/>
      <c r="V268" s="14"/>
      <c r="W268" s="14"/>
      <c r="X268" s="14"/>
      <c r="Y268" s="11" t="str">
        <f>IF(SUM(V268:X268)=0,"",IF(SUM(V268:X268)&gt;=2,"Multi","Single"))</f>
        <v/>
      </c>
      <c r="Z268" s="14"/>
      <c r="AA268" s="14"/>
      <c r="AB268" s="14"/>
      <c r="AC268" s="14"/>
      <c r="AD268" s="14"/>
      <c r="AE268" s="14"/>
      <c r="AF268" s="14"/>
      <c r="AG268" s="15"/>
    </row>
    <row r="269" spans="1:33">
      <c r="A269" s="8" t="s">
        <v>393</v>
      </c>
      <c r="B269" s="9"/>
      <c r="C269" s="8"/>
      <c r="D269" s="9"/>
      <c r="E269" s="9"/>
      <c r="F269" s="8"/>
      <c r="G269" s="10"/>
      <c r="H269" s="10"/>
      <c r="I269" s="10"/>
      <c r="J269" s="10"/>
      <c r="K269" s="10"/>
      <c r="L269" s="11" t="str">
        <f>IF(COUNTBLANK(G269:K269)=5,"",IF(COUNTIF(G269:K269,"No")&gt;0,"EXCLUDE","INCLUDE"))</f>
        <v/>
      </c>
      <c r="M269" s="11" t="str">
        <f>IF(L269&lt;&gt;"EXCLUDE","",IF(G269="No","Wrong domain (non-AECO)",IF(H269="No","Digital Twin not core / buzzword",IF(I269="No","No Design for Safety/Quality/PtD",IF(J269="No","Wrong publication type",IF(K269="No","Non-English",""))))))</f>
        <v/>
      </c>
      <c r="N269" s="12"/>
      <c r="O269" s="12"/>
      <c r="P269" s="13"/>
      <c r="Q269" s="13"/>
      <c r="R269" s="13"/>
      <c r="S269" s="11" t="str">
        <f>IF(N269&lt;&gt;"Yes","",IF(COUNTBLANK(P269:R269)=3,"",IF(COUNTIF(P269:R269,"No")&gt;0,"EXCLUDE","INCLUDE")))</f>
        <v/>
      </c>
      <c r="T269" s="11" t="str">
        <f>IF(S269&lt;&gt;"EXCLUDE","",IF(P269="No","Digital Twin mentioned only, not the subject",IF(Q269="No","No Design for Safety/Quality in full text",IF(R269="No","Methodology not codable",""))))</f>
        <v/>
      </c>
      <c r="U269" s="14"/>
      <c r="V269" s="14"/>
      <c r="W269" s="14"/>
      <c r="X269" s="14"/>
      <c r="Y269" s="11" t="str">
        <f>IF(SUM(V269:X269)=0,"",IF(SUM(V269:X269)&gt;=2,"Multi","Single"))</f>
        <v/>
      </c>
      <c r="Z269" s="14"/>
      <c r="AA269" s="14"/>
      <c r="AB269" s="14"/>
      <c r="AC269" s="14"/>
      <c r="AD269" s="14"/>
      <c r="AE269" s="14"/>
      <c r="AF269" s="14"/>
      <c r="AG269" s="15"/>
    </row>
    <row r="270" spans="1:33">
      <c r="A270" s="8" t="s">
        <v>394</v>
      </c>
      <c r="B270" s="9"/>
      <c r="C270" s="8"/>
      <c r="D270" s="9"/>
      <c r="E270" s="9"/>
      <c r="F270" s="8"/>
      <c r="G270" s="10"/>
      <c r="H270" s="10"/>
      <c r="I270" s="10"/>
      <c r="J270" s="10"/>
      <c r="K270" s="10"/>
      <c r="L270" s="11" t="str">
        <f>IF(COUNTBLANK(G270:K270)=5,"",IF(COUNTIF(G270:K270,"No")&gt;0,"EXCLUDE","INCLUDE"))</f>
        <v/>
      </c>
      <c r="M270" s="11" t="str">
        <f>IF(L270&lt;&gt;"EXCLUDE","",IF(G270="No","Wrong domain (non-AECO)",IF(H270="No","Digital Twin not core / buzzword",IF(I270="No","No Design for Safety/Quality/PtD",IF(J270="No","Wrong publication type",IF(K270="No","Non-English",""))))))</f>
        <v/>
      </c>
      <c r="N270" s="12"/>
      <c r="O270" s="12"/>
      <c r="P270" s="13"/>
      <c r="Q270" s="13"/>
      <c r="R270" s="13"/>
      <c r="S270" s="11" t="str">
        <f>IF(N270&lt;&gt;"Yes","",IF(COUNTBLANK(P270:R270)=3,"",IF(COUNTIF(P270:R270,"No")&gt;0,"EXCLUDE","INCLUDE")))</f>
        <v/>
      </c>
      <c r="T270" s="11" t="str">
        <f>IF(S270&lt;&gt;"EXCLUDE","",IF(P270="No","Digital Twin mentioned only, not the subject",IF(Q270="No","No Design for Safety/Quality in full text",IF(R270="No","Methodology not codable",""))))</f>
        <v/>
      </c>
      <c r="U270" s="14"/>
      <c r="V270" s="14"/>
      <c r="W270" s="14"/>
      <c r="X270" s="14"/>
      <c r="Y270" s="11" t="str">
        <f>IF(SUM(V270:X270)=0,"",IF(SUM(V270:X270)&gt;=2,"Multi","Single"))</f>
        <v/>
      </c>
      <c r="Z270" s="14"/>
      <c r="AA270" s="14"/>
      <c r="AB270" s="14"/>
      <c r="AC270" s="14"/>
      <c r="AD270" s="14"/>
      <c r="AE270" s="14"/>
      <c r="AF270" s="14"/>
      <c r="AG270" s="15"/>
    </row>
    <row r="271" spans="1:33">
      <c r="A271" s="8" t="s">
        <v>395</v>
      </c>
      <c r="B271" s="9"/>
      <c r="C271" s="8"/>
      <c r="D271" s="9"/>
      <c r="E271" s="9"/>
      <c r="F271" s="8"/>
      <c r="G271" s="10"/>
      <c r="H271" s="10"/>
      <c r="I271" s="10"/>
      <c r="J271" s="10"/>
      <c r="K271" s="10"/>
      <c r="L271" s="11" t="str">
        <f>IF(COUNTBLANK(G271:K271)=5,"",IF(COUNTIF(G271:K271,"No")&gt;0,"EXCLUDE","INCLUDE"))</f>
        <v/>
      </c>
      <c r="M271" s="11" t="str">
        <f>IF(L271&lt;&gt;"EXCLUDE","",IF(G271="No","Wrong domain (non-AECO)",IF(H271="No","Digital Twin not core / buzzword",IF(I271="No","No Design for Safety/Quality/PtD",IF(J271="No","Wrong publication type",IF(K271="No","Non-English",""))))))</f>
        <v/>
      </c>
      <c r="N271" s="12"/>
      <c r="O271" s="12"/>
      <c r="P271" s="13"/>
      <c r="Q271" s="13"/>
      <c r="R271" s="13"/>
      <c r="S271" s="11" t="str">
        <f>IF(N271&lt;&gt;"Yes","",IF(COUNTBLANK(P271:R271)=3,"",IF(COUNTIF(P271:R271,"No")&gt;0,"EXCLUDE","INCLUDE")))</f>
        <v/>
      </c>
      <c r="T271" s="11" t="str">
        <f>IF(S271&lt;&gt;"EXCLUDE","",IF(P271="No","Digital Twin mentioned only, not the subject",IF(Q271="No","No Design for Safety/Quality in full text",IF(R271="No","Methodology not codable",""))))</f>
        <v/>
      </c>
      <c r="U271" s="14"/>
      <c r="V271" s="14"/>
      <c r="W271" s="14"/>
      <c r="X271" s="14"/>
      <c r="Y271" s="11" t="str">
        <f>IF(SUM(V271:X271)=0,"",IF(SUM(V271:X271)&gt;=2,"Multi","Single"))</f>
        <v/>
      </c>
      <c r="Z271" s="14"/>
      <c r="AA271" s="14"/>
      <c r="AB271" s="14"/>
      <c r="AC271" s="14"/>
      <c r="AD271" s="14"/>
      <c r="AE271" s="14"/>
      <c r="AF271" s="14"/>
      <c r="AG271" s="15"/>
    </row>
    <row r="272" spans="1:33">
      <c r="A272" s="8" t="s">
        <v>396</v>
      </c>
      <c r="B272" s="9"/>
      <c r="C272" s="8"/>
      <c r="D272" s="9"/>
      <c r="E272" s="9"/>
      <c r="F272" s="8"/>
      <c r="G272" s="10"/>
      <c r="H272" s="10"/>
      <c r="I272" s="10"/>
      <c r="J272" s="10"/>
      <c r="K272" s="10"/>
      <c r="L272" s="11" t="str">
        <f>IF(COUNTBLANK(G272:K272)=5,"",IF(COUNTIF(G272:K272,"No")&gt;0,"EXCLUDE","INCLUDE"))</f>
        <v/>
      </c>
      <c r="M272" s="11" t="str">
        <f>IF(L272&lt;&gt;"EXCLUDE","",IF(G272="No","Wrong domain (non-AECO)",IF(H272="No","Digital Twin not core / buzzword",IF(I272="No","No Design for Safety/Quality/PtD",IF(J272="No","Wrong publication type",IF(K272="No","Non-English",""))))))</f>
        <v/>
      </c>
      <c r="N272" s="12"/>
      <c r="O272" s="12"/>
      <c r="P272" s="13"/>
      <c r="Q272" s="13"/>
      <c r="R272" s="13"/>
      <c r="S272" s="11" t="str">
        <f>IF(N272&lt;&gt;"Yes","",IF(COUNTBLANK(P272:R272)=3,"",IF(COUNTIF(P272:R272,"No")&gt;0,"EXCLUDE","INCLUDE")))</f>
        <v/>
      </c>
      <c r="T272" s="11" t="str">
        <f>IF(S272&lt;&gt;"EXCLUDE","",IF(P272="No","Digital Twin mentioned only, not the subject",IF(Q272="No","No Design for Safety/Quality in full text",IF(R272="No","Methodology not codable",""))))</f>
        <v/>
      </c>
      <c r="U272" s="14"/>
      <c r="V272" s="14"/>
      <c r="W272" s="14"/>
      <c r="X272" s="14"/>
      <c r="Y272" s="11" t="str">
        <f>IF(SUM(V272:X272)=0,"",IF(SUM(V272:X272)&gt;=2,"Multi","Single"))</f>
        <v/>
      </c>
      <c r="Z272" s="14"/>
      <c r="AA272" s="14"/>
      <c r="AB272" s="14"/>
      <c r="AC272" s="14"/>
      <c r="AD272" s="14"/>
      <c r="AE272" s="14"/>
      <c r="AF272" s="14"/>
      <c r="AG272" s="15"/>
    </row>
    <row r="273" spans="1:33">
      <c r="A273" s="8" t="s">
        <v>397</v>
      </c>
      <c r="B273" s="9"/>
      <c r="C273" s="8"/>
      <c r="D273" s="9"/>
      <c r="E273" s="9"/>
      <c r="F273" s="8"/>
      <c r="G273" s="10"/>
      <c r="H273" s="10"/>
      <c r="I273" s="10"/>
      <c r="J273" s="10"/>
      <c r="K273" s="10"/>
      <c r="L273" s="11" t="str">
        <f>IF(COUNTBLANK(G273:K273)=5,"",IF(COUNTIF(G273:K273,"No")&gt;0,"EXCLUDE","INCLUDE"))</f>
        <v/>
      </c>
      <c r="M273" s="11" t="str">
        <f>IF(L273&lt;&gt;"EXCLUDE","",IF(G273="No","Wrong domain (non-AECO)",IF(H273="No","Digital Twin not core / buzzword",IF(I273="No","No Design for Safety/Quality/PtD",IF(J273="No","Wrong publication type",IF(K273="No","Non-English",""))))))</f>
        <v/>
      </c>
      <c r="N273" s="12"/>
      <c r="O273" s="12"/>
      <c r="P273" s="13"/>
      <c r="Q273" s="13"/>
      <c r="R273" s="13"/>
      <c r="S273" s="11" t="str">
        <f>IF(N273&lt;&gt;"Yes","",IF(COUNTBLANK(P273:R273)=3,"",IF(COUNTIF(P273:R273,"No")&gt;0,"EXCLUDE","INCLUDE")))</f>
        <v/>
      </c>
      <c r="T273" s="11" t="str">
        <f>IF(S273&lt;&gt;"EXCLUDE","",IF(P273="No","Digital Twin mentioned only, not the subject",IF(Q273="No","No Design for Safety/Quality in full text",IF(R273="No","Methodology not codable",""))))</f>
        <v/>
      </c>
      <c r="U273" s="14"/>
      <c r="V273" s="14"/>
      <c r="W273" s="14"/>
      <c r="X273" s="14"/>
      <c r="Y273" s="11" t="str">
        <f>IF(SUM(V273:X273)=0,"",IF(SUM(V273:X273)&gt;=2,"Multi","Single"))</f>
        <v/>
      </c>
      <c r="Z273" s="14"/>
      <c r="AA273" s="14"/>
      <c r="AB273" s="14"/>
      <c r="AC273" s="14"/>
      <c r="AD273" s="14"/>
      <c r="AE273" s="14"/>
      <c r="AF273" s="14"/>
      <c r="AG273" s="15"/>
    </row>
    <row r="274" spans="1:33">
      <c r="A274" s="8" t="s">
        <v>398</v>
      </c>
      <c r="B274" s="9"/>
      <c r="C274" s="8"/>
      <c r="D274" s="9"/>
      <c r="E274" s="9"/>
      <c r="F274" s="8"/>
      <c r="G274" s="10"/>
      <c r="H274" s="10"/>
      <c r="I274" s="10"/>
      <c r="J274" s="10"/>
      <c r="K274" s="10"/>
      <c r="L274" s="11" t="str">
        <f>IF(COUNTBLANK(G274:K274)=5,"",IF(COUNTIF(G274:K274,"No")&gt;0,"EXCLUDE","INCLUDE"))</f>
        <v/>
      </c>
      <c r="M274" s="11" t="str">
        <f>IF(L274&lt;&gt;"EXCLUDE","",IF(G274="No","Wrong domain (non-AECO)",IF(H274="No","Digital Twin not core / buzzword",IF(I274="No","No Design for Safety/Quality/PtD",IF(J274="No","Wrong publication type",IF(K274="No","Non-English",""))))))</f>
        <v/>
      </c>
      <c r="N274" s="12"/>
      <c r="O274" s="12"/>
      <c r="P274" s="13"/>
      <c r="Q274" s="13"/>
      <c r="R274" s="13"/>
      <c r="S274" s="11" t="str">
        <f>IF(N274&lt;&gt;"Yes","",IF(COUNTBLANK(P274:R274)=3,"",IF(COUNTIF(P274:R274,"No")&gt;0,"EXCLUDE","INCLUDE")))</f>
        <v/>
      </c>
      <c r="T274" s="11" t="str">
        <f>IF(S274&lt;&gt;"EXCLUDE","",IF(P274="No","Digital Twin mentioned only, not the subject",IF(Q274="No","No Design for Safety/Quality in full text",IF(R274="No","Methodology not codable",""))))</f>
        <v/>
      </c>
      <c r="U274" s="14"/>
      <c r="V274" s="14"/>
      <c r="W274" s="14"/>
      <c r="X274" s="14"/>
      <c r="Y274" s="11" t="str">
        <f>IF(SUM(V274:X274)=0,"",IF(SUM(V274:X274)&gt;=2,"Multi","Single"))</f>
        <v/>
      </c>
      <c r="Z274" s="14"/>
      <c r="AA274" s="14"/>
      <c r="AB274" s="14"/>
      <c r="AC274" s="14"/>
      <c r="AD274" s="14"/>
      <c r="AE274" s="14"/>
      <c r="AF274" s="14"/>
      <c r="AG274" s="15"/>
    </row>
    <row r="275" spans="1:33">
      <c r="A275" s="8" t="s">
        <v>399</v>
      </c>
      <c r="B275" s="9"/>
      <c r="C275" s="8"/>
      <c r="D275" s="9"/>
      <c r="E275" s="9"/>
      <c r="F275" s="8"/>
      <c r="G275" s="10"/>
      <c r="H275" s="10"/>
      <c r="I275" s="10"/>
      <c r="J275" s="10"/>
      <c r="K275" s="10"/>
      <c r="L275" s="11" t="str">
        <f>IF(COUNTBLANK(G275:K275)=5,"",IF(COUNTIF(G275:K275,"No")&gt;0,"EXCLUDE","INCLUDE"))</f>
        <v/>
      </c>
      <c r="M275" s="11" t="str">
        <f>IF(L275&lt;&gt;"EXCLUDE","",IF(G275="No","Wrong domain (non-AECO)",IF(H275="No","Digital Twin not core / buzzword",IF(I275="No","No Design for Safety/Quality/PtD",IF(J275="No","Wrong publication type",IF(K275="No","Non-English",""))))))</f>
        <v/>
      </c>
      <c r="N275" s="12"/>
      <c r="O275" s="12"/>
      <c r="P275" s="13"/>
      <c r="Q275" s="13"/>
      <c r="R275" s="13"/>
      <c r="S275" s="11" t="str">
        <f>IF(N275&lt;&gt;"Yes","",IF(COUNTBLANK(P275:R275)=3,"",IF(COUNTIF(P275:R275,"No")&gt;0,"EXCLUDE","INCLUDE")))</f>
        <v/>
      </c>
      <c r="T275" s="11" t="str">
        <f>IF(S275&lt;&gt;"EXCLUDE","",IF(P275="No","Digital Twin mentioned only, not the subject",IF(Q275="No","No Design for Safety/Quality in full text",IF(R275="No","Methodology not codable",""))))</f>
        <v/>
      </c>
      <c r="U275" s="14"/>
      <c r="V275" s="14"/>
      <c r="W275" s="14"/>
      <c r="X275" s="14"/>
      <c r="Y275" s="11" t="str">
        <f>IF(SUM(V275:X275)=0,"",IF(SUM(V275:X275)&gt;=2,"Multi","Single"))</f>
        <v/>
      </c>
      <c r="Z275" s="14"/>
      <c r="AA275" s="14"/>
      <c r="AB275" s="14"/>
      <c r="AC275" s="14"/>
      <c r="AD275" s="14"/>
      <c r="AE275" s="14"/>
      <c r="AF275" s="14"/>
      <c r="AG275" s="15"/>
    </row>
    <row r="276" spans="1:33">
      <c r="A276" s="8" t="s">
        <v>400</v>
      </c>
      <c r="B276" s="9"/>
      <c r="C276" s="8"/>
      <c r="D276" s="9"/>
      <c r="E276" s="9"/>
      <c r="F276" s="8"/>
      <c r="G276" s="10"/>
      <c r="H276" s="10"/>
      <c r="I276" s="10"/>
      <c r="J276" s="10"/>
      <c r="K276" s="10"/>
      <c r="L276" s="11" t="str">
        <f>IF(COUNTBLANK(G276:K276)=5,"",IF(COUNTIF(G276:K276,"No")&gt;0,"EXCLUDE","INCLUDE"))</f>
        <v/>
      </c>
      <c r="M276" s="11" t="str">
        <f>IF(L276&lt;&gt;"EXCLUDE","",IF(G276="No","Wrong domain (non-AECO)",IF(H276="No","Digital Twin not core / buzzword",IF(I276="No","No Design for Safety/Quality/PtD",IF(J276="No","Wrong publication type",IF(K276="No","Non-English",""))))))</f>
        <v/>
      </c>
      <c r="N276" s="12"/>
      <c r="O276" s="12"/>
      <c r="P276" s="13"/>
      <c r="Q276" s="13"/>
      <c r="R276" s="13"/>
      <c r="S276" s="11" t="str">
        <f>IF(N276&lt;&gt;"Yes","",IF(COUNTBLANK(P276:R276)=3,"",IF(COUNTIF(P276:R276,"No")&gt;0,"EXCLUDE","INCLUDE")))</f>
        <v/>
      </c>
      <c r="T276" s="11" t="str">
        <f>IF(S276&lt;&gt;"EXCLUDE","",IF(P276="No","Digital Twin mentioned only, not the subject",IF(Q276="No","No Design for Safety/Quality in full text",IF(R276="No","Methodology not codable",""))))</f>
        <v/>
      </c>
      <c r="U276" s="14"/>
      <c r="V276" s="14"/>
      <c r="W276" s="14"/>
      <c r="X276" s="14"/>
      <c r="Y276" s="11" t="str">
        <f>IF(SUM(V276:X276)=0,"",IF(SUM(V276:X276)&gt;=2,"Multi","Single"))</f>
        <v/>
      </c>
      <c r="Z276" s="14"/>
      <c r="AA276" s="14"/>
      <c r="AB276" s="14"/>
      <c r="AC276" s="14"/>
      <c r="AD276" s="14"/>
      <c r="AE276" s="14"/>
      <c r="AF276" s="14"/>
      <c r="AG276" s="15"/>
    </row>
    <row r="277" spans="1:33">
      <c r="A277" s="8" t="s">
        <v>401</v>
      </c>
      <c r="B277" s="9"/>
      <c r="C277" s="8"/>
      <c r="D277" s="9"/>
      <c r="E277" s="9"/>
      <c r="F277" s="8"/>
      <c r="G277" s="10"/>
      <c r="H277" s="10"/>
      <c r="I277" s="10"/>
      <c r="J277" s="10"/>
      <c r="K277" s="10"/>
      <c r="L277" s="11" t="str">
        <f>IF(COUNTBLANK(G277:K277)=5,"",IF(COUNTIF(G277:K277,"No")&gt;0,"EXCLUDE","INCLUDE"))</f>
        <v/>
      </c>
      <c r="M277" s="11" t="str">
        <f>IF(L277&lt;&gt;"EXCLUDE","",IF(G277="No","Wrong domain (non-AECO)",IF(H277="No","Digital Twin not core / buzzword",IF(I277="No","No Design for Safety/Quality/PtD",IF(J277="No","Wrong publication type",IF(K277="No","Non-English",""))))))</f>
        <v/>
      </c>
      <c r="N277" s="12"/>
      <c r="O277" s="12"/>
      <c r="P277" s="13"/>
      <c r="Q277" s="13"/>
      <c r="R277" s="13"/>
      <c r="S277" s="11" t="str">
        <f>IF(N277&lt;&gt;"Yes","",IF(COUNTBLANK(P277:R277)=3,"",IF(COUNTIF(P277:R277,"No")&gt;0,"EXCLUDE","INCLUDE")))</f>
        <v/>
      </c>
      <c r="T277" s="11" t="str">
        <f>IF(S277&lt;&gt;"EXCLUDE","",IF(P277="No","Digital Twin mentioned only, not the subject",IF(Q277="No","No Design for Safety/Quality in full text",IF(R277="No","Methodology not codable",""))))</f>
        <v/>
      </c>
      <c r="U277" s="14"/>
      <c r="V277" s="14"/>
      <c r="W277" s="14"/>
      <c r="X277" s="14"/>
      <c r="Y277" s="11" t="str">
        <f>IF(SUM(V277:X277)=0,"",IF(SUM(V277:X277)&gt;=2,"Multi","Single"))</f>
        <v/>
      </c>
      <c r="Z277" s="14"/>
      <c r="AA277" s="14"/>
      <c r="AB277" s="14"/>
      <c r="AC277" s="14"/>
      <c r="AD277" s="14"/>
      <c r="AE277" s="14"/>
      <c r="AF277" s="14"/>
      <c r="AG277" s="15"/>
    </row>
    <row r="278" spans="1:33">
      <c r="A278" s="8" t="s">
        <v>402</v>
      </c>
      <c r="B278" s="9"/>
      <c r="C278" s="8"/>
      <c r="D278" s="9"/>
      <c r="E278" s="9"/>
      <c r="F278" s="8"/>
      <c r="G278" s="10"/>
      <c r="H278" s="10"/>
      <c r="I278" s="10"/>
      <c r="J278" s="10"/>
      <c r="K278" s="10"/>
      <c r="L278" s="11" t="str">
        <f>IF(COUNTBLANK(G278:K278)=5,"",IF(COUNTIF(G278:K278,"No")&gt;0,"EXCLUDE","INCLUDE"))</f>
        <v/>
      </c>
      <c r="M278" s="11" t="str">
        <f>IF(L278&lt;&gt;"EXCLUDE","",IF(G278="No","Wrong domain (non-AECO)",IF(H278="No","Digital Twin not core / buzzword",IF(I278="No","No Design for Safety/Quality/PtD",IF(J278="No","Wrong publication type",IF(K278="No","Non-English",""))))))</f>
        <v/>
      </c>
      <c r="N278" s="12"/>
      <c r="O278" s="12"/>
      <c r="P278" s="13"/>
      <c r="Q278" s="13"/>
      <c r="R278" s="13"/>
      <c r="S278" s="11" t="str">
        <f>IF(N278&lt;&gt;"Yes","",IF(COUNTBLANK(P278:R278)=3,"",IF(COUNTIF(P278:R278,"No")&gt;0,"EXCLUDE","INCLUDE")))</f>
        <v/>
      </c>
      <c r="T278" s="11" t="str">
        <f>IF(S278&lt;&gt;"EXCLUDE","",IF(P278="No","Digital Twin mentioned only, not the subject",IF(Q278="No","No Design for Safety/Quality in full text",IF(R278="No","Methodology not codable",""))))</f>
        <v/>
      </c>
      <c r="U278" s="14"/>
      <c r="V278" s="14"/>
      <c r="W278" s="14"/>
      <c r="X278" s="14"/>
      <c r="Y278" s="11" t="str">
        <f>IF(SUM(V278:X278)=0,"",IF(SUM(V278:X278)&gt;=2,"Multi","Single"))</f>
        <v/>
      </c>
      <c r="Z278" s="14"/>
      <c r="AA278" s="14"/>
      <c r="AB278" s="14"/>
      <c r="AC278" s="14"/>
      <c r="AD278" s="14"/>
      <c r="AE278" s="14"/>
      <c r="AF278" s="14"/>
      <c r="AG278" s="15"/>
    </row>
    <row r="279" spans="1:33">
      <c r="A279" s="8" t="s">
        <v>403</v>
      </c>
      <c r="B279" s="9"/>
      <c r="C279" s="8"/>
      <c r="D279" s="9"/>
      <c r="E279" s="9"/>
      <c r="F279" s="8"/>
      <c r="G279" s="10"/>
      <c r="H279" s="10"/>
      <c r="I279" s="10"/>
      <c r="J279" s="10"/>
      <c r="K279" s="10"/>
      <c r="L279" s="11" t="str">
        <f>IF(COUNTBLANK(G279:K279)=5,"",IF(COUNTIF(G279:K279,"No")&gt;0,"EXCLUDE","INCLUDE"))</f>
        <v/>
      </c>
      <c r="M279" s="11" t="str">
        <f>IF(L279&lt;&gt;"EXCLUDE","",IF(G279="No","Wrong domain (non-AECO)",IF(H279="No","Digital Twin not core / buzzword",IF(I279="No","No Design for Safety/Quality/PtD",IF(J279="No","Wrong publication type",IF(K279="No","Non-English",""))))))</f>
        <v/>
      </c>
      <c r="N279" s="12"/>
      <c r="O279" s="12"/>
      <c r="P279" s="13"/>
      <c r="Q279" s="13"/>
      <c r="R279" s="13"/>
      <c r="S279" s="11" t="str">
        <f>IF(N279&lt;&gt;"Yes","",IF(COUNTBLANK(P279:R279)=3,"",IF(COUNTIF(P279:R279,"No")&gt;0,"EXCLUDE","INCLUDE")))</f>
        <v/>
      </c>
      <c r="T279" s="11" t="str">
        <f>IF(S279&lt;&gt;"EXCLUDE","",IF(P279="No","Digital Twin mentioned only, not the subject",IF(Q279="No","No Design for Safety/Quality in full text",IF(R279="No","Methodology not codable",""))))</f>
        <v/>
      </c>
      <c r="U279" s="14"/>
      <c r="V279" s="14"/>
      <c r="W279" s="14"/>
      <c r="X279" s="14"/>
      <c r="Y279" s="11" t="str">
        <f>IF(SUM(V279:X279)=0,"",IF(SUM(V279:X279)&gt;=2,"Multi","Single"))</f>
        <v/>
      </c>
      <c r="Z279" s="14"/>
      <c r="AA279" s="14"/>
      <c r="AB279" s="14"/>
      <c r="AC279" s="14"/>
      <c r="AD279" s="14"/>
      <c r="AE279" s="14"/>
      <c r="AF279" s="14"/>
      <c r="AG279" s="15"/>
    </row>
    <row r="280" spans="1:33">
      <c r="A280" s="8" t="s">
        <v>404</v>
      </c>
      <c r="B280" s="9"/>
      <c r="C280" s="8"/>
      <c r="D280" s="9"/>
      <c r="E280" s="9"/>
      <c r="F280" s="8"/>
      <c r="G280" s="10"/>
      <c r="H280" s="10"/>
      <c r="I280" s="10"/>
      <c r="J280" s="10"/>
      <c r="K280" s="10"/>
      <c r="L280" s="11" t="str">
        <f>IF(COUNTBLANK(G280:K280)=5,"",IF(COUNTIF(G280:K280,"No")&gt;0,"EXCLUDE","INCLUDE"))</f>
        <v/>
      </c>
      <c r="M280" s="11" t="str">
        <f>IF(L280&lt;&gt;"EXCLUDE","",IF(G280="No","Wrong domain (non-AECO)",IF(H280="No","Digital Twin not core / buzzword",IF(I280="No","No Design for Safety/Quality/PtD",IF(J280="No","Wrong publication type",IF(K280="No","Non-English",""))))))</f>
        <v/>
      </c>
      <c r="N280" s="12"/>
      <c r="O280" s="12"/>
      <c r="P280" s="13"/>
      <c r="Q280" s="13"/>
      <c r="R280" s="13"/>
      <c r="S280" s="11" t="str">
        <f>IF(N280&lt;&gt;"Yes","",IF(COUNTBLANK(P280:R280)=3,"",IF(COUNTIF(P280:R280,"No")&gt;0,"EXCLUDE","INCLUDE")))</f>
        <v/>
      </c>
      <c r="T280" s="11" t="str">
        <f>IF(S280&lt;&gt;"EXCLUDE","",IF(P280="No","Digital Twin mentioned only, not the subject",IF(Q280="No","No Design for Safety/Quality in full text",IF(R280="No","Methodology not codable",""))))</f>
        <v/>
      </c>
      <c r="U280" s="14"/>
      <c r="V280" s="14"/>
      <c r="W280" s="14"/>
      <c r="X280" s="14"/>
      <c r="Y280" s="11" t="str">
        <f>IF(SUM(V280:X280)=0,"",IF(SUM(V280:X280)&gt;=2,"Multi","Single"))</f>
        <v/>
      </c>
      <c r="Z280" s="14"/>
      <c r="AA280" s="14"/>
      <c r="AB280" s="14"/>
      <c r="AC280" s="14"/>
      <c r="AD280" s="14"/>
      <c r="AE280" s="14"/>
      <c r="AF280" s="14"/>
      <c r="AG280" s="15"/>
    </row>
    <row r="281" spans="1:33">
      <c r="A281" s="8" t="s">
        <v>405</v>
      </c>
      <c r="B281" s="9"/>
      <c r="C281" s="8"/>
      <c r="D281" s="9"/>
      <c r="E281" s="9"/>
      <c r="F281" s="8"/>
      <c r="G281" s="10"/>
      <c r="H281" s="10"/>
      <c r="I281" s="10"/>
      <c r="J281" s="10"/>
      <c r="K281" s="10"/>
      <c r="L281" s="11" t="str">
        <f>IF(COUNTBLANK(G281:K281)=5,"",IF(COUNTIF(G281:K281,"No")&gt;0,"EXCLUDE","INCLUDE"))</f>
        <v/>
      </c>
      <c r="M281" s="11" t="str">
        <f>IF(L281&lt;&gt;"EXCLUDE","",IF(G281="No","Wrong domain (non-AECO)",IF(H281="No","Digital Twin not core / buzzword",IF(I281="No","No Design for Safety/Quality/PtD",IF(J281="No","Wrong publication type",IF(K281="No","Non-English",""))))))</f>
        <v/>
      </c>
      <c r="N281" s="12"/>
      <c r="O281" s="12"/>
      <c r="P281" s="13"/>
      <c r="Q281" s="13"/>
      <c r="R281" s="13"/>
      <c r="S281" s="11" t="str">
        <f>IF(N281&lt;&gt;"Yes","",IF(COUNTBLANK(P281:R281)=3,"",IF(COUNTIF(P281:R281,"No")&gt;0,"EXCLUDE","INCLUDE")))</f>
        <v/>
      </c>
      <c r="T281" s="11" t="str">
        <f>IF(S281&lt;&gt;"EXCLUDE","",IF(P281="No","Digital Twin mentioned only, not the subject",IF(Q281="No","No Design for Safety/Quality in full text",IF(R281="No","Methodology not codable",""))))</f>
        <v/>
      </c>
      <c r="U281" s="14"/>
      <c r="V281" s="14"/>
      <c r="W281" s="14"/>
      <c r="X281" s="14"/>
      <c r="Y281" s="11" t="str">
        <f>IF(SUM(V281:X281)=0,"",IF(SUM(V281:X281)&gt;=2,"Multi","Single"))</f>
        <v/>
      </c>
      <c r="Z281" s="14"/>
      <c r="AA281" s="14"/>
      <c r="AB281" s="14"/>
      <c r="AC281" s="14"/>
      <c r="AD281" s="14"/>
      <c r="AE281" s="14"/>
      <c r="AF281" s="14"/>
      <c r="AG281" s="15"/>
    </row>
    <row r="282" spans="1:33">
      <c r="A282" s="8" t="s">
        <v>406</v>
      </c>
      <c r="B282" s="9"/>
      <c r="C282" s="8"/>
      <c r="D282" s="9"/>
      <c r="E282" s="9"/>
      <c r="F282" s="8"/>
      <c r="G282" s="10"/>
      <c r="H282" s="10"/>
      <c r="I282" s="10"/>
      <c r="J282" s="10"/>
      <c r="K282" s="10"/>
      <c r="L282" s="11" t="str">
        <f>IF(COUNTBLANK(G282:K282)=5,"",IF(COUNTIF(G282:K282,"No")&gt;0,"EXCLUDE","INCLUDE"))</f>
        <v/>
      </c>
      <c r="M282" s="11" t="str">
        <f>IF(L282&lt;&gt;"EXCLUDE","",IF(G282="No","Wrong domain (non-AECO)",IF(H282="No","Digital Twin not core / buzzword",IF(I282="No","No Design for Safety/Quality/PtD",IF(J282="No","Wrong publication type",IF(K282="No","Non-English",""))))))</f>
        <v/>
      </c>
      <c r="N282" s="12"/>
      <c r="O282" s="12"/>
      <c r="P282" s="13"/>
      <c r="Q282" s="13"/>
      <c r="R282" s="13"/>
      <c r="S282" s="11" t="str">
        <f>IF(N282&lt;&gt;"Yes","",IF(COUNTBLANK(P282:R282)=3,"",IF(COUNTIF(P282:R282,"No")&gt;0,"EXCLUDE","INCLUDE")))</f>
        <v/>
      </c>
      <c r="T282" s="11" t="str">
        <f>IF(S282&lt;&gt;"EXCLUDE","",IF(P282="No","Digital Twin mentioned only, not the subject",IF(Q282="No","No Design for Safety/Quality in full text",IF(R282="No","Methodology not codable",""))))</f>
        <v/>
      </c>
      <c r="U282" s="14"/>
      <c r="V282" s="14"/>
      <c r="W282" s="14"/>
      <c r="X282" s="14"/>
      <c r="Y282" s="11" t="str">
        <f>IF(SUM(V282:X282)=0,"",IF(SUM(V282:X282)&gt;=2,"Multi","Single"))</f>
        <v/>
      </c>
      <c r="Z282" s="14"/>
      <c r="AA282" s="14"/>
      <c r="AB282" s="14"/>
      <c r="AC282" s="14"/>
      <c r="AD282" s="14"/>
      <c r="AE282" s="14"/>
      <c r="AF282" s="14"/>
      <c r="AG282" s="15"/>
    </row>
    <row r="283" spans="1:33">
      <c r="A283" s="8" t="s">
        <v>407</v>
      </c>
      <c r="B283" s="9"/>
      <c r="C283" s="8"/>
      <c r="D283" s="9"/>
      <c r="E283" s="9"/>
      <c r="F283" s="8"/>
      <c r="G283" s="10"/>
      <c r="H283" s="10"/>
      <c r="I283" s="10"/>
      <c r="J283" s="10"/>
      <c r="K283" s="10"/>
      <c r="L283" s="11" t="str">
        <f>IF(COUNTBLANK(G283:K283)=5,"",IF(COUNTIF(G283:K283,"No")&gt;0,"EXCLUDE","INCLUDE"))</f>
        <v/>
      </c>
      <c r="M283" s="11" t="str">
        <f>IF(L283&lt;&gt;"EXCLUDE","",IF(G283="No","Wrong domain (non-AECO)",IF(H283="No","Digital Twin not core / buzzword",IF(I283="No","No Design for Safety/Quality/PtD",IF(J283="No","Wrong publication type",IF(K283="No","Non-English",""))))))</f>
        <v/>
      </c>
      <c r="N283" s="12"/>
      <c r="O283" s="12"/>
      <c r="P283" s="13"/>
      <c r="Q283" s="13"/>
      <c r="R283" s="13"/>
      <c r="S283" s="11" t="str">
        <f>IF(N283&lt;&gt;"Yes","",IF(COUNTBLANK(P283:R283)=3,"",IF(COUNTIF(P283:R283,"No")&gt;0,"EXCLUDE","INCLUDE")))</f>
        <v/>
      </c>
      <c r="T283" s="11" t="str">
        <f>IF(S283&lt;&gt;"EXCLUDE","",IF(P283="No","Digital Twin mentioned only, not the subject",IF(Q283="No","No Design for Safety/Quality in full text",IF(R283="No","Methodology not codable",""))))</f>
        <v/>
      </c>
      <c r="U283" s="14"/>
      <c r="V283" s="14"/>
      <c r="W283" s="14"/>
      <c r="X283" s="14"/>
      <c r="Y283" s="11" t="str">
        <f>IF(SUM(V283:X283)=0,"",IF(SUM(V283:X283)&gt;=2,"Multi","Single"))</f>
        <v/>
      </c>
      <c r="Z283" s="14"/>
      <c r="AA283" s="14"/>
      <c r="AB283" s="14"/>
      <c r="AC283" s="14"/>
      <c r="AD283" s="14"/>
      <c r="AE283" s="14"/>
      <c r="AF283" s="14"/>
      <c r="AG283" s="15"/>
    </row>
    <row r="284" spans="1:33">
      <c r="A284" s="8" t="s">
        <v>408</v>
      </c>
      <c r="B284" s="9"/>
      <c r="C284" s="8"/>
      <c r="D284" s="9"/>
      <c r="E284" s="9"/>
      <c r="F284" s="8"/>
      <c r="G284" s="10"/>
      <c r="H284" s="10"/>
      <c r="I284" s="10"/>
      <c r="J284" s="10"/>
      <c r="K284" s="10"/>
      <c r="L284" s="11" t="str">
        <f>IF(COUNTBLANK(G284:K284)=5,"",IF(COUNTIF(G284:K284,"No")&gt;0,"EXCLUDE","INCLUDE"))</f>
        <v/>
      </c>
      <c r="M284" s="11" t="str">
        <f>IF(L284&lt;&gt;"EXCLUDE","",IF(G284="No","Wrong domain (non-AECO)",IF(H284="No","Digital Twin not core / buzzword",IF(I284="No","No Design for Safety/Quality/PtD",IF(J284="No","Wrong publication type",IF(K284="No","Non-English",""))))))</f>
        <v/>
      </c>
      <c r="N284" s="12"/>
      <c r="O284" s="12"/>
      <c r="P284" s="13"/>
      <c r="Q284" s="13"/>
      <c r="R284" s="13"/>
      <c r="S284" s="11" t="str">
        <f>IF(N284&lt;&gt;"Yes","",IF(COUNTBLANK(P284:R284)=3,"",IF(COUNTIF(P284:R284,"No")&gt;0,"EXCLUDE","INCLUDE")))</f>
        <v/>
      </c>
      <c r="T284" s="11" t="str">
        <f>IF(S284&lt;&gt;"EXCLUDE","",IF(P284="No","Digital Twin mentioned only, not the subject",IF(Q284="No","No Design for Safety/Quality in full text",IF(R284="No","Methodology not codable",""))))</f>
        <v/>
      </c>
      <c r="U284" s="14"/>
      <c r="V284" s="14"/>
      <c r="W284" s="14"/>
      <c r="X284" s="14"/>
      <c r="Y284" s="11" t="str">
        <f>IF(SUM(V284:X284)=0,"",IF(SUM(V284:X284)&gt;=2,"Multi","Single"))</f>
        <v/>
      </c>
      <c r="Z284" s="14"/>
      <c r="AA284" s="14"/>
      <c r="AB284" s="14"/>
      <c r="AC284" s="14"/>
      <c r="AD284" s="14"/>
      <c r="AE284" s="14"/>
      <c r="AF284" s="14"/>
      <c r="AG284" s="15"/>
    </row>
    <row r="285" spans="1:33">
      <c r="A285" s="8" t="s">
        <v>409</v>
      </c>
      <c r="B285" s="9"/>
      <c r="C285" s="8"/>
      <c r="D285" s="9"/>
      <c r="E285" s="9"/>
      <c r="F285" s="8"/>
      <c r="G285" s="10"/>
      <c r="H285" s="10"/>
      <c r="I285" s="10"/>
      <c r="J285" s="10"/>
      <c r="K285" s="10"/>
      <c r="L285" s="11" t="str">
        <f>IF(COUNTBLANK(G285:K285)=5,"",IF(COUNTIF(G285:K285,"No")&gt;0,"EXCLUDE","INCLUDE"))</f>
        <v/>
      </c>
      <c r="M285" s="11" t="str">
        <f>IF(L285&lt;&gt;"EXCLUDE","",IF(G285="No","Wrong domain (non-AECO)",IF(H285="No","Digital Twin not core / buzzword",IF(I285="No","No Design for Safety/Quality/PtD",IF(J285="No","Wrong publication type",IF(K285="No","Non-English",""))))))</f>
        <v/>
      </c>
      <c r="N285" s="12"/>
      <c r="O285" s="12"/>
      <c r="P285" s="13"/>
      <c r="Q285" s="13"/>
      <c r="R285" s="13"/>
      <c r="S285" s="11" t="str">
        <f>IF(N285&lt;&gt;"Yes","",IF(COUNTBLANK(P285:R285)=3,"",IF(COUNTIF(P285:R285,"No")&gt;0,"EXCLUDE","INCLUDE")))</f>
        <v/>
      </c>
      <c r="T285" s="11" t="str">
        <f>IF(S285&lt;&gt;"EXCLUDE","",IF(P285="No","Digital Twin mentioned only, not the subject",IF(Q285="No","No Design for Safety/Quality in full text",IF(R285="No","Methodology not codable",""))))</f>
        <v/>
      </c>
      <c r="U285" s="14"/>
      <c r="V285" s="14"/>
      <c r="W285" s="14"/>
      <c r="X285" s="14"/>
      <c r="Y285" s="11" t="str">
        <f>IF(SUM(V285:X285)=0,"",IF(SUM(V285:X285)&gt;=2,"Multi","Single"))</f>
        <v/>
      </c>
      <c r="Z285" s="14"/>
      <c r="AA285" s="14"/>
      <c r="AB285" s="14"/>
      <c r="AC285" s="14"/>
      <c r="AD285" s="14"/>
      <c r="AE285" s="14"/>
      <c r="AF285" s="14"/>
      <c r="AG285" s="15"/>
    </row>
    <row r="286" spans="1:33">
      <c r="A286" s="8" t="s">
        <v>410</v>
      </c>
      <c r="B286" s="9"/>
      <c r="C286" s="8"/>
      <c r="D286" s="9"/>
      <c r="E286" s="9"/>
      <c r="F286" s="8"/>
      <c r="G286" s="10"/>
      <c r="H286" s="10"/>
      <c r="I286" s="10"/>
      <c r="J286" s="10"/>
      <c r="K286" s="10"/>
      <c r="L286" s="11" t="str">
        <f>IF(COUNTBLANK(G286:K286)=5,"",IF(COUNTIF(G286:K286,"No")&gt;0,"EXCLUDE","INCLUDE"))</f>
        <v/>
      </c>
      <c r="M286" s="11" t="str">
        <f>IF(L286&lt;&gt;"EXCLUDE","",IF(G286="No","Wrong domain (non-AECO)",IF(H286="No","Digital Twin not core / buzzword",IF(I286="No","No Design for Safety/Quality/PtD",IF(J286="No","Wrong publication type",IF(K286="No","Non-English",""))))))</f>
        <v/>
      </c>
      <c r="N286" s="12"/>
      <c r="O286" s="12"/>
      <c r="P286" s="13"/>
      <c r="Q286" s="13"/>
      <c r="R286" s="13"/>
      <c r="S286" s="11" t="str">
        <f>IF(N286&lt;&gt;"Yes","",IF(COUNTBLANK(P286:R286)=3,"",IF(COUNTIF(P286:R286,"No")&gt;0,"EXCLUDE","INCLUDE")))</f>
        <v/>
      </c>
      <c r="T286" s="11" t="str">
        <f>IF(S286&lt;&gt;"EXCLUDE","",IF(P286="No","Digital Twin mentioned only, not the subject",IF(Q286="No","No Design for Safety/Quality in full text",IF(R286="No","Methodology not codable",""))))</f>
        <v/>
      </c>
      <c r="U286" s="14"/>
      <c r="V286" s="14"/>
      <c r="W286" s="14"/>
      <c r="X286" s="14"/>
      <c r="Y286" s="11" t="str">
        <f>IF(SUM(V286:X286)=0,"",IF(SUM(V286:X286)&gt;=2,"Multi","Single"))</f>
        <v/>
      </c>
      <c r="Z286" s="14"/>
      <c r="AA286" s="14"/>
      <c r="AB286" s="14"/>
      <c r="AC286" s="14"/>
      <c r="AD286" s="14"/>
      <c r="AE286" s="14"/>
      <c r="AF286" s="14"/>
      <c r="AG286" s="15"/>
    </row>
    <row r="287" spans="1:33">
      <c r="A287" s="8" t="s">
        <v>411</v>
      </c>
      <c r="B287" s="9"/>
      <c r="C287" s="8"/>
      <c r="D287" s="9"/>
      <c r="E287" s="9"/>
      <c r="F287" s="8"/>
      <c r="G287" s="10"/>
      <c r="H287" s="10"/>
      <c r="I287" s="10"/>
      <c r="J287" s="10"/>
      <c r="K287" s="10"/>
      <c r="L287" s="11" t="str">
        <f>IF(COUNTBLANK(G287:K287)=5,"",IF(COUNTIF(G287:K287,"No")&gt;0,"EXCLUDE","INCLUDE"))</f>
        <v/>
      </c>
      <c r="M287" s="11" t="str">
        <f>IF(L287&lt;&gt;"EXCLUDE","",IF(G287="No","Wrong domain (non-AECO)",IF(H287="No","Digital Twin not core / buzzword",IF(I287="No","No Design for Safety/Quality/PtD",IF(J287="No","Wrong publication type",IF(K287="No","Non-English",""))))))</f>
        <v/>
      </c>
      <c r="N287" s="12"/>
      <c r="O287" s="12"/>
      <c r="P287" s="13"/>
      <c r="Q287" s="13"/>
      <c r="R287" s="13"/>
      <c r="S287" s="11" t="str">
        <f>IF(N287&lt;&gt;"Yes","",IF(COUNTBLANK(P287:R287)=3,"",IF(COUNTIF(P287:R287,"No")&gt;0,"EXCLUDE","INCLUDE")))</f>
        <v/>
      </c>
      <c r="T287" s="11" t="str">
        <f>IF(S287&lt;&gt;"EXCLUDE","",IF(P287="No","Digital Twin mentioned only, not the subject",IF(Q287="No","No Design for Safety/Quality in full text",IF(R287="No","Methodology not codable",""))))</f>
        <v/>
      </c>
      <c r="U287" s="14"/>
      <c r="V287" s="14"/>
      <c r="W287" s="14"/>
      <c r="X287" s="14"/>
      <c r="Y287" s="11" t="str">
        <f>IF(SUM(V287:X287)=0,"",IF(SUM(V287:X287)&gt;=2,"Multi","Single"))</f>
        <v/>
      </c>
      <c r="Z287" s="14"/>
      <c r="AA287" s="14"/>
      <c r="AB287" s="14"/>
      <c r="AC287" s="14"/>
      <c r="AD287" s="14"/>
      <c r="AE287" s="14"/>
      <c r="AF287" s="14"/>
      <c r="AG287" s="15"/>
    </row>
    <row r="288" spans="1:33">
      <c r="A288" s="8" t="s">
        <v>412</v>
      </c>
      <c r="B288" s="9"/>
      <c r="C288" s="8"/>
      <c r="D288" s="9"/>
      <c r="E288" s="9"/>
      <c r="F288" s="8"/>
      <c r="G288" s="10"/>
      <c r="H288" s="10"/>
      <c r="I288" s="10"/>
      <c r="J288" s="10"/>
      <c r="K288" s="10"/>
      <c r="L288" s="11" t="str">
        <f>IF(COUNTBLANK(G288:K288)=5,"",IF(COUNTIF(G288:K288,"No")&gt;0,"EXCLUDE","INCLUDE"))</f>
        <v/>
      </c>
      <c r="M288" s="11" t="str">
        <f>IF(L288&lt;&gt;"EXCLUDE","",IF(G288="No","Wrong domain (non-AECO)",IF(H288="No","Digital Twin not core / buzzword",IF(I288="No","No Design for Safety/Quality/PtD",IF(J288="No","Wrong publication type",IF(K288="No","Non-English",""))))))</f>
        <v/>
      </c>
      <c r="N288" s="12"/>
      <c r="O288" s="12"/>
      <c r="P288" s="13"/>
      <c r="Q288" s="13"/>
      <c r="R288" s="13"/>
      <c r="S288" s="11" t="str">
        <f>IF(N288&lt;&gt;"Yes","",IF(COUNTBLANK(P288:R288)=3,"",IF(COUNTIF(P288:R288,"No")&gt;0,"EXCLUDE","INCLUDE")))</f>
        <v/>
      </c>
      <c r="T288" s="11" t="str">
        <f>IF(S288&lt;&gt;"EXCLUDE","",IF(P288="No","Digital Twin mentioned only, not the subject",IF(Q288="No","No Design for Safety/Quality in full text",IF(R288="No","Methodology not codable",""))))</f>
        <v/>
      </c>
      <c r="U288" s="14"/>
      <c r="V288" s="14"/>
      <c r="W288" s="14"/>
      <c r="X288" s="14"/>
      <c r="Y288" s="11" t="str">
        <f>IF(SUM(V288:X288)=0,"",IF(SUM(V288:X288)&gt;=2,"Multi","Single"))</f>
        <v/>
      </c>
      <c r="Z288" s="14"/>
      <c r="AA288" s="14"/>
      <c r="AB288" s="14"/>
      <c r="AC288" s="14"/>
      <c r="AD288" s="14"/>
      <c r="AE288" s="14"/>
      <c r="AF288" s="14"/>
      <c r="AG288" s="15"/>
    </row>
    <row r="289" spans="1:33">
      <c r="A289" s="8" t="s">
        <v>413</v>
      </c>
      <c r="B289" s="9"/>
      <c r="C289" s="8"/>
      <c r="D289" s="9"/>
      <c r="E289" s="9"/>
      <c r="F289" s="8"/>
      <c r="G289" s="10"/>
      <c r="H289" s="10"/>
      <c r="I289" s="10"/>
      <c r="J289" s="10"/>
      <c r="K289" s="10"/>
      <c r="L289" s="11" t="str">
        <f>IF(COUNTBLANK(G289:K289)=5,"",IF(COUNTIF(G289:K289,"No")&gt;0,"EXCLUDE","INCLUDE"))</f>
        <v/>
      </c>
      <c r="M289" s="11" t="str">
        <f>IF(L289&lt;&gt;"EXCLUDE","",IF(G289="No","Wrong domain (non-AECO)",IF(H289="No","Digital Twin not core / buzzword",IF(I289="No","No Design for Safety/Quality/PtD",IF(J289="No","Wrong publication type",IF(K289="No","Non-English",""))))))</f>
        <v/>
      </c>
      <c r="N289" s="12"/>
      <c r="O289" s="12"/>
      <c r="P289" s="13"/>
      <c r="Q289" s="13"/>
      <c r="R289" s="13"/>
      <c r="S289" s="11" t="str">
        <f>IF(N289&lt;&gt;"Yes","",IF(COUNTBLANK(P289:R289)=3,"",IF(COUNTIF(P289:R289,"No")&gt;0,"EXCLUDE","INCLUDE")))</f>
        <v/>
      </c>
      <c r="T289" s="11" t="str">
        <f>IF(S289&lt;&gt;"EXCLUDE","",IF(P289="No","Digital Twin mentioned only, not the subject",IF(Q289="No","No Design for Safety/Quality in full text",IF(R289="No","Methodology not codable",""))))</f>
        <v/>
      </c>
      <c r="U289" s="14"/>
      <c r="V289" s="14"/>
      <c r="W289" s="14"/>
      <c r="X289" s="14"/>
      <c r="Y289" s="11" t="str">
        <f>IF(SUM(V289:X289)=0,"",IF(SUM(V289:X289)&gt;=2,"Multi","Single"))</f>
        <v/>
      </c>
      <c r="Z289" s="14"/>
      <c r="AA289" s="14"/>
      <c r="AB289" s="14"/>
      <c r="AC289" s="14"/>
      <c r="AD289" s="14"/>
      <c r="AE289" s="14"/>
      <c r="AF289" s="14"/>
      <c r="AG289" s="15"/>
    </row>
    <row r="290" spans="1:33">
      <c r="A290" s="8" t="s">
        <v>414</v>
      </c>
      <c r="B290" s="9"/>
      <c r="C290" s="8"/>
      <c r="D290" s="9"/>
      <c r="E290" s="9"/>
      <c r="F290" s="8"/>
      <c r="G290" s="10"/>
      <c r="H290" s="10"/>
      <c r="I290" s="10"/>
      <c r="J290" s="10"/>
      <c r="K290" s="10"/>
      <c r="L290" s="11" t="str">
        <f>IF(COUNTBLANK(G290:K290)=5,"",IF(COUNTIF(G290:K290,"No")&gt;0,"EXCLUDE","INCLUDE"))</f>
        <v/>
      </c>
      <c r="M290" s="11" t="str">
        <f>IF(L290&lt;&gt;"EXCLUDE","",IF(G290="No","Wrong domain (non-AECO)",IF(H290="No","Digital Twin not core / buzzword",IF(I290="No","No Design for Safety/Quality/PtD",IF(J290="No","Wrong publication type",IF(K290="No","Non-English",""))))))</f>
        <v/>
      </c>
      <c r="N290" s="12"/>
      <c r="O290" s="12"/>
      <c r="P290" s="13"/>
      <c r="Q290" s="13"/>
      <c r="R290" s="13"/>
      <c r="S290" s="11" t="str">
        <f>IF(N290&lt;&gt;"Yes","",IF(COUNTBLANK(P290:R290)=3,"",IF(COUNTIF(P290:R290,"No")&gt;0,"EXCLUDE","INCLUDE")))</f>
        <v/>
      </c>
      <c r="T290" s="11" t="str">
        <f>IF(S290&lt;&gt;"EXCLUDE","",IF(P290="No","Digital Twin mentioned only, not the subject",IF(Q290="No","No Design for Safety/Quality in full text",IF(R290="No","Methodology not codable",""))))</f>
        <v/>
      </c>
      <c r="U290" s="14"/>
      <c r="V290" s="14"/>
      <c r="W290" s="14"/>
      <c r="X290" s="14"/>
      <c r="Y290" s="11" t="str">
        <f>IF(SUM(V290:X290)=0,"",IF(SUM(V290:X290)&gt;=2,"Multi","Single"))</f>
        <v/>
      </c>
      <c r="Z290" s="14"/>
      <c r="AA290" s="14"/>
      <c r="AB290" s="14"/>
      <c r="AC290" s="14"/>
      <c r="AD290" s="14"/>
      <c r="AE290" s="14"/>
      <c r="AF290" s="14"/>
      <c r="AG290" s="15"/>
    </row>
    <row r="291" spans="1:33">
      <c r="A291" s="8" t="s">
        <v>415</v>
      </c>
      <c r="B291" s="9"/>
      <c r="C291" s="8"/>
      <c r="D291" s="9"/>
      <c r="E291" s="9"/>
      <c r="F291" s="8"/>
      <c r="G291" s="10"/>
      <c r="H291" s="10"/>
      <c r="I291" s="10"/>
      <c r="J291" s="10"/>
      <c r="K291" s="10"/>
      <c r="L291" s="11" t="str">
        <f>IF(COUNTBLANK(G291:K291)=5,"",IF(COUNTIF(G291:K291,"No")&gt;0,"EXCLUDE","INCLUDE"))</f>
        <v/>
      </c>
      <c r="M291" s="11" t="str">
        <f>IF(L291&lt;&gt;"EXCLUDE","",IF(G291="No","Wrong domain (non-AECO)",IF(H291="No","Digital Twin not core / buzzword",IF(I291="No","No Design for Safety/Quality/PtD",IF(J291="No","Wrong publication type",IF(K291="No","Non-English",""))))))</f>
        <v/>
      </c>
      <c r="N291" s="12"/>
      <c r="O291" s="12"/>
      <c r="P291" s="13"/>
      <c r="Q291" s="13"/>
      <c r="R291" s="13"/>
      <c r="S291" s="11" t="str">
        <f>IF(N291&lt;&gt;"Yes","",IF(COUNTBLANK(P291:R291)=3,"",IF(COUNTIF(P291:R291,"No")&gt;0,"EXCLUDE","INCLUDE")))</f>
        <v/>
      </c>
      <c r="T291" s="11" t="str">
        <f>IF(S291&lt;&gt;"EXCLUDE","",IF(P291="No","Digital Twin mentioned only, not the subject",IF(Q291="No","No Design for Safety/Quality in full text",IF(R291="No","Methodology not codable",""))))</f>
        <v/>
      </c>
      <c r="U291" s="14"/>
      <c r="V291" s="14"/>
      <c r="W291" s="14"/>
      <c r="X291" s="14"/>
      <c r="Y291" s="11" t="str">
        <f>IF(SUM(V291:X291)=0,"",IF(SUM(V291:X291)&gt;=2,"Multi","Single"))</f>
        <v/>
      </c>
      <c r="Z291" s="14"/>
      <c r="AA291" s="14"/>
      <c r="AB291" s="14"/>
      <c r="AC291" s="14"/>
      <c r="AD291" s="14"/>
      <c r="AE291" s="14"/>
      <c r="AF291" s="14"/>
      <c r="AG291" s="15"/>
    </row>
    <row r="292" spans="1:33">
      <c r="A292" s="8" t="s">
        <v>416</v>
      </c>
      <c r="B292" s="9"/>
      <c r="C292" s="8"/>
      <c r="D292" s="9"/>
      <c r="E292" s="9"/>
      <c r="F292" s="8"/>
      <c r="G292" s="10"/>
      <c r="H292" s="10"/>
      <c r="I292" s="10"/>
      <c r="J292" s="10"/>
      <c r="K292" s="10"/>
      <c r="L292" s="11" t="str">
        <f>IF(COUNTBLANK(G292:K292)=5,"",IF(COUNTIF(G292:K292,"No")&gt;0,"EXCLUDE","INCLUDE"))</f>
        <v/>
      </c>
      <c r="M292" s="11" t="str">
        <f>IF(L292&lt;&gt;"EXCLUDE","",IF(G292="No","Wrong domain (non-AECO)",IF(H292="No","Digital Twin not core / buzzword",IF(I292="No","No Design for Safety/Quality/PtD",IF(J292="No","Wrong publication type",IF(K292="No","Non-English",""))))))</f>
        <v/>
      </c>
      <c r="N292" s="12"/>
      <c r="O292" s="12"/>
      <c r="P292" s="13"/>
      <c r="Q292" s="13"/>
      <c r="R292" s="13"/>
      <c r="S292" s="11" t="str">
        <f>IF(N292&lt;&gt;"Yes","",IF(COUNTBLANK(P292:R292)=3,"",IF(COUNTIF(P292:R292,"No")&gt;0,"EXCLUDE","INCLUDE")))</f>
        <v/>
      </c>
      <c r="T292" s="11" t="str">
        <f>IF(S292&lt;&gt;"EXCLUDE","",IF(P292="No","Digital Twin mentioned only, not the subject",IF(Q292="No","No Design for Safety/Quality in full text",IF(R292="No","Methodology not codable",""))))</f>
        <v/>
      </c>
      <c r="U292" s="14"/>
      <c r="V292" s="14"/>
      <c r="W292" s="14"/>
      <c r="X292" s="14"/>
      <c r="Y292" s="11" t="str">
        <f>IF(SUM(V292:X292)=0,"",IF(SUM(V292:X292)&gt;=2,"Multi","Single"))</f>
        <v/>
      </c>
      <c r="Z292" s="14"/>
      <c r="AA292" s="14"/>
      <c r="AB292" s="14"/>
      <c r="AC292" s="14"/>
      <c r="AD292" s="14"/>
      <c r="AE292" s="14"/>
      <c r="AF292" s="14"/>
      <c r="AG292" s="15"/>
    </row>
    <row r="293" spans="1:33">
      <c r="A293" s="8" t="s">
        <v>417</v>
      </c>
      <c r="B293" s="9"/>
      <c r="C293" s="8"/>
      <c r="D293" s="9"/>
      <c r="E293" s="9"/>
      <c r="F293" s="8"/>
      <c r="G293" s="10"/>
      <c r="H293" s="10"/>
      <c r="I293" s="10"/>
      <c r="J293" s="10"/>
      <c r="K293" s="10"/>
      <c r="L293" s="11" t="str">
        <f>IF(COUNTBLANK(G293:K293)=5,"",IF(COUNTIF(G293:K293,"No")&gt;0,"EXCLUDE","INCLUDE"))</f>
        <v/>
      </c>
      <c r="M293" s="11" t="str">
        <f>IF(L293&lt;&gt;"EXCLUDE","",IF(G293="No","Wrong domain (non-AECO)",IF(H293="No","Digital Twin not core / buzzword",IF(I293="No","No Design for Safety/Quality/PtD",IF(J293="No","Wrong publication type",IF(K293="No","Non-English",""))))))</f>
        <v/>
      </c>
      <c r="N293" s="12"/>
      <c r="O293" s="12"/>
      <c r="P293" s="13"/>
      <c r="Q293" s="13"/>
      <c r="R293" s="13"/>
      <c r="S293" s="11" t="str">
        <f>IF(N293&lt;&gt;"Yes","",IF(COUNTBLANK(P293:R293)=3,"",IF(COUNTIF(P293:R293,"No")&gt;0,"EXCLUDE","INCLUDE")))</f>
        <v/>
      </c>
      <c r="T293" s="11" t="str">
        <f>IF(S293&lt;&gt;"EXCLUDE","",IF(P293="No","Digital Twin mentioned only, not the subject",IF(Q293="No","No Design for Safety/Quality in full text",IF(R293="No","Methodology not codable",""))))</f>
        <v/>
      </c>
      <c r="U293" s="14"/>
      <c r="V293" s="14"/>
      <c r="W293" s="14"/>
      <c r="X293" s="14"/>
      <c r="Y293" s="11" t="str">
        <f>IF(SUM(V293:X293)=0,"",IF(SUM(V293:X293)&gt;=2,"Multi","Single"))</f>
        <v/>
      </c>
      <c r="Z293" s="14"/>
      <c r="AA293" s="14"/>
      <c r="AB293" s="14"/>
      <c r="AC293" s="14"/>
      <c r="AD293" s="14"/>
      <c r="AE293" s="14"/>
      <c r="AF293" s="14"/>
      <c r="AG293" s="15"/>
    </row>
    <row r="294" spans="1:33">
      <c r="A294" s="8" t="s">
        <v>418</v>
      </c>
      <c r="B294" s="9"/>
      <c r="C294" s="8"/>
      <c r="D294" s="9"/>
      <c r="E294" s="9"/>
      <c r="F294" s="8"/>
      <c r="G294" s="10"/>
      <c r="H294" s="10"/>
      <c r="I294" s="10"/>
      <c r="J294" s="10"/>
      <c r="K294" s="10"/>
      <c r="L294" s="11" t="str">
        <f>IF(COUNTBLANK(G294:K294)=5,"",IF(COUNTIF(G294:K294,"No")&gt;0,"EXCLUDE","INCLUDE"))</f>
        <v/>
      </c>
      <c r="M294" s="11" t="str">
        <f>IF(L294&lt;&gt;"EXCLUDE","",IF(G294="No","Wrong domain (non-AECO)",IF(H294="No","Digital Twin not core / buzzword",IF(I294="No","No Design for Safety/Quality/PtD",IF(J294="No","Wrong publication type",IF(K294="No","Non-English",""))))))</f>
        <v/>
      </c>
      <c r="N294" s="12"/>
      <c r="O294" s="12"/>
      <c r="P294" s="13"/>
      <c r="Q294" s="13"/>
      <c r="R294" s="13"/>
      <c r="S294" s="11" t="str">
        <f>IF(N294&lt;&gt;"Yes","",IF(COUNTBLANK(P294:R294)=3,"",IF(COUNTIF(P294:R294,"No")&gt;0,"EXCLUDE","INCLUDE")))</f>
        <v/>
      </c>
      <c r="T294" s="11" t="str">
        <f>IF(S294&lt;&gt;"EXCLUDE","",IF(P294="No","Digital Twin mentioned only, not the subject",IF(Q294="No","No Design for Safety/Quality in full text",IF(R294="No","Methodology not codable",""))))</f>
        <v/>
      </c>
      <c r="U294" s="14"/>
      <c r="V294" s="14"/>
      <c r="W294" s="14"/>
      <c r="X294" s="14"/>
      <c r="Y294" s="11" t="str">
        <f>IF(SUM(V294:X294)=0,"",IF(SUM(V294:X294)&gt;=2,"Multi","Single"))</f>
        <v/>
      </c>
      <c r="Z294" s="14"/>
      <c r="AA294" s="14"/>
      <c r="AB294" s="14"/>
      <c r="AC294" s="14"/>
      <c r="AD294" s="14"/>
      <c r="AE294" s="14"/>
      <c r="AF294" s="14"/>
      <c r="AG294" s="15"/>
    </row>
    <row r="295" spans="1:33">
      <c r="A295" s="8" t="s">
        <v>419</v>
      </c>
      <c r="B295" s="9"/>
      <c r="C295" s="8"/>
      <c r="D295" s="9"/>
      <c r="E295" s="9"/>
      <c r="F295" s="8"/>
      <c r="G295" s="10"/>
      <c r="H295" s="10"/>
      <c r="I295" s="10"/>
      <c r="J295" s="10"/>
      <c r="K295" s="10"/>
      <c r="L295" s="11" t="str">
        <f>IF(COUNTBLANK(G295:K295)=5,"",IF(COUNTIF(G295:K295,"No")&gt;0,"EXCLUDE","INCLUDE"))</f>
        <v/>
      </c>
      <c r="M295" s="11" t="str">
        <f>IF(L295&lt;&gt;"EXCLUDE","",IF(G295="No","Wrong domain (non-AECO)",IF(H295="No","Digital Twin not core / buzzword",IF(I295="No","No Design for Safety/Quality/PtD",IF(J295="No","Wrong publication type",IF(K295="No","Non-English",""))))))</f>
        <v/>
      </c>
      <c r="N295" s="12"/>
      <c r="O295" s="12"/>
      <c r="P295" s="13"/>
      <c r="Q295" s="13"/>
      <c r="R295" s="13"/>
      <c r="S295" s="11" t="str">
        <f>IF(N295&lt;&gt;"Yes","",IF(COUNTBLANK(P295:R295)=3,"",IF(COUNTIF(P295:R295,"No")&gt;0,"EXCLUDE","INCLUDE")))</f>
        <v/>
      </c>
      <c r="T295" s="11" t="str">
        <f>IF(S295&lt;&gt;"EXCLUDE","",IF(P295="No","Digital Twin mentioned only, not the subject",IF(Q295="No","No Design for Safety/Quality in full text",IF(R295="No","Methodology not codable",""))))</f>
        <v/>
      </c>
      <c r="U295" s="14"/>
      <c r="V295" s="14"/>
      <c r="W295" s="14"/>
      <c r="X295" s="14"/>
      <c r="Y295" s="11" t="str">
        <f>IF(SUM(V295:X295)=0,"",IF(SUM(V295:X295)&gt;=2,"Multi","Single"))</f>
        <v/>
      </c>
      <c r="Z295" s="14"/>
      <c r="AA295" s="14"/>
      <c r="AB295" s="14"/>
      <c r="AC295" s="14"/>
      <c r="AD295" s="14"/>
      <c r="AE295" s="14"/>
      <c r="AF295" s="14"/>
      <c r="AG295" s="15"/>
    </row>
    <row r="296" spans="1:33">
      <c r="A296" s="8" t="s">
        <v>420</v>
      </c>
      <c r="B296" s="9"/>
      <c r="C296" s="8"/>
      <c r="D296" s="9"/>
      <c r="E296" s="9"/>
      <c r="F296" s="8"/>
      <c r="G296" s="10"/>
      <c r="H296" s="10"/>
      <c r="I296" s="10"/>
      <c r="J296" s="10"/>
      <c r="K296" s="10"/>
      <c r="L296" s="11" t="str">
        <f>IF(COUNTBLANK(G296:K296)=5,"",IF(COUNTIF(G296:K296,"No")&gt;0,"EXCLUDE","INCLUDE"))</f>
        <v/>
      </c>
      <c r="M296" s="11" t="str">
        <f>IF(L296&lt;&gt;"EXCLUDE","",IF(G296="No","Wrong domain (non-AECO)",IF(H296="No","Digital Twin not core / buzzword",IF(I296="No","No Design for Safety/Quality/PtD",IF(J296="No","Wrong publication type",IF(K296="No","Non-English",""))))))</f>
        <v/>
      </c>
      <c r="N296" s="12"/>
      <c r="O296" s="12"/>
      <c r="P296" s="13"/>
      <c r="Q296" s="13"/>
      <c r="R296" s="13"/>
      <c r="S296" s="11" t="str">
        <f>IF(N296&lt;&gt;"Yes","",IF(COUNTBLANK(P296:R296)=3,"",IF(COUNTIF(P296:R296,"No")&gt;0,"EXCLUDE","INCLUDE")))</f>
        <v/>
      </c>
      <c r="T296" s="11" t="str">
        <f>IF(S296&lt;&gt;"EXCLUDE","",IF(P296="No","Digital Twin mentioned only, not the subject",IF(Q296="No","No Design for Safety/Quality in full text",IF(R296="No","Methodology not codable",""))))</f>
        <v/>
      </c>
      <c r="U296" s="14"/>
      <c r="V296" s="14"/>
      <c r="W296" s="14"/>
      <c r="X296" s="14"/>
      <c r="Y296" s="11" t="str">
        <f>IF(SUM(V296:X296)=0,"",IF(SUM(V296:X296)&gt;=2,"Multi","Single"))</f>
        <v/>
      </c>
      <c r="Z296" s="14"/>
      <c r="AA296" s="14"/>
      <c r="AB296" s="14"/>
      <c r="AC296" s="14"/>
      <c r="AD296" s="14"/>
      <c r="AE296" s="14"/>
      <c r="AF296" s="14"/>
      <c r="AG296" s="15"/>
    </row>
    <row r="297" spans="1:33">
      <c r="A297" s="8" t="s">
        <v>421</v>
      </c>
      <c r="B297" s="9"/>
      <c r="C297" s="8"/>
      <c r="D297" s="9"/>
      <c r="E297" s="9"/>
      <c r="F297" s="8"/>
      <c r="G297" s="10"/>
      <c r="H297" s="10"/>
      <c r="I297" s="10"/>
      <c r="J297" s="10"/>
      <c r="K297" s="10"/>
      <c r="L297" s="11" t="str">
        <f>IF(COUNTBLANK(G297:K297)=5,"",IF(COUNTIF(G297:K297,"No")&gt;0,"EXCLUDE","INCLUDE"))</f>
        <v/>
      </c>
      <c r="M297" s="11" t="str">
        <f>IF(L297&lt;&gt;"EXCLUDE","",IF(G297="No","Wrong domain (non-AECO)",IF(H297="No","Digital Twin not core / buzzword",IF(I297="No","No Design for Safety/Quality/PtD",IF(J297="No","Wrong publication type",IF(K297="No","Non-English",""))))))</f>
        <v/>
      </c>
      <c r="N297" s="12"/>
      <c r="O297" s="12"/>
      <c r="P297" s="13"/>
      <c r="Q297" s="13"/>
      <c r="R297" s="13"/>
      <c r="S297" s="11" t="str">
        <f>IF(N297&lt;&gt;"Yes","",IF(COUNTBLANK(P297:R297)=3,"",IF(COUNTIF(P297:R297,"No")&gt;0,"EXCLUDE","INCLUDE")))</f>
        <v/>
      </c>
      <c r="T297" s="11" t="str">
        <f>IF(S297&lt;&gt;"EXCLUDE","",IF(P297="No","Digital Twin mentioned only, not the subject",IF(Q297="No","No Design for Safety/Quality in full text",IF(R297="No","Methodology not codable",""))))</f>
        <v/>
      </c>
      <c r="U297" s="14"/>
      <c r="V297" s="14"/>
      <c r="W297" s="14"/>
      <c r="X297" s="14"/>
      <c r="Y297" s="11" t="str">
        <f>IF(SUM(V297:X297)=0,"",IF(SUM(V297:X297)&gt;=2,"Multi","Single"))</f>
        <v/>
      </c>
      <c r="Z297" s="14"/>
      <c r="AA297" s="14"/>
      <c r="AB297" s="14"/>
      <c r="AC297" s="14"/>
      <c r="AD297" s="14"/>
      <c r="AE297" s="14"/>
      <c r="AF297" s="14"/>
      <c r="AG297" s="15"/>
    </row>
    <row r="298" spans="1:33">
      <c r="A298" s="8" t="s">
        <v>422</v>
      </c>
      <c r="B298" s="9"/>
      <c r="C298" s="8"/>
      <c r="D298" s="9"/>
      <c r="E298" s="9"/>
      <c r="F298" s="8"/>
      <c r="G298" s="10"/>
      <c r="H298" s="10"/>
      <c r="I298" s="10"/>
      <c r="J298" s="10"/>
      <c r="K298" s="10"/>
      <c r="L298" s="11" t="str">
        <f>IF(COUNTBLANK(G298:K298)=5,"",IF(COUNTIF(G298:K298,"No")&gt;0,"EXCLUDE","INCLUDE"))</f>
        <v/>
      </c>
      <c r="M298" s="11" t="str">
        <f>IF(L298&lt;&gt;"EXCLUDE","",IF(G298="No","Wrong domain (non-AECO)",IF(H298="No","Digital Twin not core / buzzword",IF(I298="No","No Design for Safety/Quality/PtD",IF(J298="No","Wrong publication type",IF(K298="No","Non-English",""))))))</f>
        <v/>
      </c>
      <c r="N298" s="12"/>
      <c r="O298" s="12"/>
      <c r="P298" s="13"/>
      <c r="Q298" s="13"/>
      <c r="R298" s="13"/>
      <c r="S298" s="11" t="str">
        <f>IF(N298&lt;&gt;"Yes","",IF(COUNTBLANK(P298:R298)=3,"",IF(COUNTIF(P298:R298,"No")&gt;0,"EXCLUDE","INCLUDE")))</f>
        <v/>
      </c>
      <c r="T298" s="11" t="str">
        <f>IF(S298&lt;&gt;"EXCLUDE","",IF(P298="No","Digital Twin mentioned only, not the subject",IF(Q298="No","No Design for Safety/Quality in full text",IF(R298="No","Methodology not codable",""))))</f>
        <v/>
      </c>
      <c r="U298" s="14"/>
      <c r="V298" s="14"/>
      <c r="W298" s="14"/>
      <c r="X298" s="14"/>
      <c r="Y298" s="11" t="str">
        <f>IF(SUM(V298:X298)=0,"",IF(SUM(V298:X298)&gt;=2,"Multi","Single"))</f>
        <v/>
      </c>
      <c r="Z298" s="14"/>
      <c r="AA298" s="14"/>
      <c r="AB298" s="14"/>
      <c r="AC298" s="14"/>
      <c r="AD298" s="14"/>
      <c r="AE298" s="14"/>
      <c r="AF298" s="14"/>
      <c r="AG298" s="15"/>
    </row>
    <row r="299" spans="1:33">
      <c r="A299" s="8" t="s">
        <v>423</v>
      </c>
      <c r="B299" s="9"/>
      <c r="C299" s="8"/>
      <c r="D299" s="9"/>
      <c r="E299" s="9"/>
      <c r="F299" s="8"/>
      <c r="G299" s="10"/>
      <c r="H299" s="10"/>
      <c r="I299" s="10"/>
      <c r="J299" s="10"/>
      <c r="K299" s="10"/>
      <c r="L299" s="11" t="str">
        <f>IF(COUNTBLANK(G299:K299)=5,"",IF(COUNTIF(G299:K299,"No")&gt;0,"EXCLUDE","INCLUDE"))</f>
        <v/>
      </c>
      <c r="M299" s="11" t="str">
        <f>IF(L299&lt;&gt;"EXCLUDE","",IF(G299="No","Wrong domain (non-AECO)",IF(H299="No","Digital Twin not core / buzzword",IF(I299="No","No Design for Safety/Quality/PtD",IF(J299="No","Wrong publication type",IF(K299="No","Non-English",""))))))</f>
        <v/>
      </c>
      <c r="N299" s="12"/>
      <c r="O299" s="12"/>
      <c r="P299" s="13"/>
      <c r="Q299" s="13"/>
      <c r="R299" s="13"/>
      <c r="S299" s="11" t="str">
        <f>IF(N299&lt;&gt;"Yes","",IF(COUNTBLANK(P299:R299)=3,"",IF(COUNTIF(P299:R299,"No")&gt;0,"EXCLUDE","INCLUDE")))</f>
        <v/>
      </c>
      <c r="T299" s="11" t="str">
        <f>IF(S299&lt;&gt;"EXCLUDE","",IF(P299="No","Digital Twin mentioned only, not the subject",IF(Q299="No","No Design for Safety/Quality in full text",IF(R299="No","Methodology not codable",""))))</f>
        <v/>
      </c>
      <c r="U299" s="14"/>
      <c r="V299" s="14"/>
      <c r="W299" s="14"/>
      <c r="X299" s="14"/>
      <c r="Y299" s="11" t="str">
        <f>IF(SUM(V299:X299)=0,"",IF(SUM(V299:X299)&gt;=2,"Multi","Single"))</f>
        <v/>
      </c>
      <c r="Z299" s="14"/>
      <c r="AA299" s="14"/>
      <c r="AB299" s="14"/>
      <c r="AC299" s="14"/>
      <c r="AD299" s="14"/>
      <c r="AE299" s="14"/>
      <c r="AF299" s="14"/>
      <c r="AG299" s="15"/>
    </row>
    <row r="300" spans="1:33">
      <c r="A300" s="8" t="s">
        <v>424</v>
      </c>
      <c r="B300" s="9"/>
      <c r="C300" s="8"/>
      <c r="D300" s="9"/>
      <c r="E300" s="9"/>
      <c r="F300" s="8"/>
      <c r="G300" s="10"/>
      <c r="H300" s="10"/>
      <c r="I300" s="10"/>
      <c r="J300" s="10"/>
      <c r="K300" s="10"/>
      <c r="L300" s="11" t="str">
        <f>IF(COUNTBLANK(G300:K300)=5,"",IF(COUNTIF(G300:K300,"No")&gt;0,"EXCLUDE","INCLUDE"))</f>
        <v/>
      </c>
      <c r="M300" s="11" t="str">
        <f>IF(L300&lt;&gt;"EXCLUDE","",IF(G300="No","Wrong domain (non-AECO)",IF(H300="No","Digital Twin not core / buzzword",IF(I300="No","No Design for Safety/Quality/PtD",IF(J300="No","Wrong publication type",IF(K300="No","Non-English",""))))))</f>
        <v/>
      </c>
      <c r="N300" s="12"/>
      <c r="O300" s="12"/>
      <c r="P300" s="13"/>
      <c r="Q300" s="13"/>
      <c r="R300" s="13"/>
      <c r="S300" s="11" t="str">
        <f>IF(N300&lt;&gt;"Yes","",IF(COUNTBLANK(P300:R300)=3,"",IF(COUNTIF(P300:R300,"No")&gt;0,"EXCLUDE","INCLUDE")))</f>
        <v/>
      </c>
      <c r="T300" s="11" t="str">
        <f>IF(S300&lt;&gt;"EXCLUDE","",IF(P300="No","Digital Twin mentioned only, not the subject",IF(Q300="No","No Design for Safety/Quality in full text",IF(R300="No","Methodology not codable",""))))</f>
        <v/>
      </c>
      <c r="U300" s="14"/>
      <c r="V300" s="14"/>
      <c r="W300" s="14"/>
      <c r="X300" s="14"/>
      <c r="Y300" s="11" t="str">
        <f>IF(SUM(V300:X300)=0,"",IF(SUM(V300:X300)&gt;=2,"Multi","Single"))</f>
        <v/>
      </c>
      <c r="Z300" s="14"/>
      <c r="AA300" s="14"/>
      <c r="AB300" s="14"/>
      <c r="AC300" s="14"/>
      <c r="AD300" s="14"/>
      <c r="AE300" s="14"/>
      <c r="AF300" s="14"/>
      <c r="AG300" s="15"/>
    </row>
    <row r="301" spans="1:33">
      <c r="A301" s="8" t="s">
        <v>425</v>
      </c>
      <c r="B301" s="9"/>
      <c r="C301" s="8"/>
      <c r="D301" s="9"/>
      <c r="E301" s="9"/>
      <c r="F301" s="8"/>
      <c r="G301" s="10"/>
      <c r="H301" s="10"/>
      <c r="I301" s="10"/>
      <c r="J301" s="10"/>
      <c r="K301" s="10"/>
      <c r="L301" s="11" t="str">
        <f>IF(COUNTBLANK(G301:K301)=5,"",IF(COUNTIF(G301:K301,"No")&gt;0,"EXCLUDE","INCLUDE"))</f>
        <v/>
      </c>
      <c r="M301" s="11" t="str">
        <f>IF(L301&lt;&gt;"EXCLUDE","",IF(G301="No","Wrong domain (non-AECO)",IF(H301="No","Digital Twin not core / buzzword",IF(I301="No","No Design for Safety/Quality/PtD",IF(J301="No","Wrong publication type",IF(K301="No","Non-English",""))))))</f>
        <v/>
      </c>
      <c r="N301" s="12"/>
      <c r="O301" s="12"/>
      <c r="P301" s="13"/>
      <c r="Q301" s="13"/>
      <c r="R301" s="13"/>
      <c r="S301" s="11" t="str">
        <f>IF(N301&lt;&gt;"Yes","",IF(COUNTBLANK(P301:R301)=3,"",IF(COUNTIF(P301:R301,"No")&gt;0,"EXCLUDE","INCLUDE")))</f>
        <v/>
      </c>
      <c r="T301" s="11" t="str">
        <f>IF(S301&lt;&gt;"EXCLUDE","",IF(P301="No","Digital Twin mentioned only, not the subject",IF(Q301="No","No Design for Safety/Quality in full text",IF(R301="No","Methodology not codable",""))))</f>
        <v/>
      </c>
      <c r="U301" s="14"/>
      <c r="V301" s="14"/>
      <c r="W301" s="14"/>
      <c r="X301" s="14"/>
      <c r="Y301" s="11" t="str">
        <f>IF(SUM(V301:X301)=0,"",IF(SUM(V301:X301)&gt;=2,"Multi","Single"))</f>
        <v/>
      </c>
      <c r="Z301" s="14"/>
      <c r="AA301" s="14"/>
      <c r="AB301" s="14"/>
      <c r="AC301" s="14"/>
      <c r="AD301" s="14"/>
      <c r="AE301" s="14"/>
      <c r="AF301" s="14"/>
      <c r="AG301" s="15"/>
    </row>
    <row r="302" spans="1:33">
      <c r="A302" s="8" t="s">
        <v>426</v>
      </c>
      <c r="B302" s="9"/>
      <c r="C302" s="8"/>
      <c r="D302" s="9"/>
      <c r="E302" s="9"/>
      <c r="F302" s="8"/>
      <c r="G302" s="10"/>
      <c r="H302" s="10"/>
      <c r="I302" s="10"/>
      <c r="J302" s="10"/>
      <c r="K302" s="10"/>
      <c r="L302" s="11" t="str">
        <f>IF(COUNTBLANK(G302:K302)=5,"",IF(COUNTIF(G302:K302,"No")&gt;0,"EXCLUDE","INCLUDE"))</f>
        <v/>
      </c>
      <c r="M302" s="11" t="str">
        <f>IF(L302&lt;&gt;"EXCLUDE","",IF(G302="No","Wrong domain (non-AECO)",IF(H302="No","Digital Twin not core / buzzword",IF(I302="No","No Design for Safety/Quality/PtD",IF(J302="No","Wrong publication type",IF(K302="No","Non-English",""))))))</f>
        <v/>
      </c>
      <c r="N302" s="12"/>
      <c r="O302" s="12"/>
      <c r="P302" s="13"/>
      <c r="Q302" s="13"/>
      <c r="R302" s="13"/>
      <c r="S302" s="11" t="str">
        <f>IF(N302&lt;&gt;"Yes","",IF(COUNTBLANK(P302:R302)=3,"",IF(COUNTIF(P302:R302,"No")&gt;0,"EXCLUDE","INCLUDE")))</f>
        <v/>
      </c>
      <c r="T302" s="11" t="str">
        <f>IF(S302&lt;&gt;"EXCLUDE","",IF(P302="No","Digital Twin mentioned only, not the subject",IF(Q302="No","No Design for Safety/Quality in full text",IF(R302="No","Methodology not codable",""))))</f>
        <v/>
      </c>
      <c r="U302" s="14"/>
      <c r="V302" s="14"/>
      <c r="W302" s="14"/>
      <c r="X302" s="14"/>
      <c r="Y302" s="11" t="str">
        <f>IF(SUM(V302:X302)=0,"",IF(SUM(V302:X302)&gt;=2,"Multi","Single"))</f>
        <v/>
      </c>
      <c r="Z302" s="14"/>
      <c r="AA302" s="14"/>
      <c r="AB302" s="14"/>
      <c r="AC302" s="14"/>
      <c r="AD302" s="14"/>
      <c r="AE302" s="14"/>
      <c r="AF302" s="14"/>
      <c r="AG302" s="15"/>
    </row>
    <row r="303" spans="1:33">
      <c r="A303" s="8" t="s">
        <v>427</v>
      </c>
      <c r="B303" s="9"/>
      <c r="C303" s="8"/>
      <c r="D303" s="9"/>
      <c r="E303" s="9"/>
      <c r="F303" s="8"/>
      <c r="G303" s="10"/>
      <c r="H303" s="10"/>
      <c r="I303" s="10"/>
      <c r="J303" s="10"/>
      <c r="K303" s="10"/>
      <c r="L303" s="11" t="str">
        <f>IF(COUNTBLANK(G303:K303)=5,"",IF(COUNTIF(G303:K303,"No")&gt;0,"EXCLUDE","INCLUDE"))</f>
        <v/>
      </c>
      <c r="M303" s="11" t="str">
        <f>IF(L303&lt;&gt;"EXCLUDE","",IF(G303="No","Wrong domain (non-AECO)",IF(H303="No","Digital Twin not core / buzzword",IF(I303="No","No Design for Safety/Quality/PtD",IF(J303="No","Wrong publication type",IF(K303="No","Non-English",""))))))</f>
        <v/>
      </c>
      <c r="N303" s="12"/>
      <c r="O303" s="12"/>
      <c r="P303" s="13"/>
      <c r="Q303" s="13"/>
      <c r="R303" s="13"/>
      <c r="S303" s="11" t="str">
        <f>IF(N303&lt;&gt;"Yes","",IF(COUNTBLANK(P303:R303)=3,"",IF(COUNTIF(P303:R303,"No")&gt;0,"EXCLUDE","INCLUDE")))</f>
        <v/>
      </c>
      <c r="T303" s="11" t="str">
        <f>IF(S303&lt;&gt;"EXCLUDE","",IF(P303="No","Digital Twin mentioned only, not the subject",IF(Q303="No","No Design for Safety/Quality in full text",IF(R303="No","Methodology not codable",""))))</f>
        <v/>
      </c>
      <c r="U303" s="14"/>
      <c r="V303" s="14"/>
      <c r="W303" s="14"/>
      <c r="X303" s="14"/>
      <c r="Y303" s="11" t="str">
        <f>IF(SUM(V303:X303)=0,"",IF(SUM(V303:X303)&gt;=2,"Multi","Single"))</f>
        <v/>
      </c>
      <c r="Z303" s="14"/>
      <c r="AA303" s="14"/>
      <c r="AB303" s="14"/>
      <c r="AC303" s="14"/>
      <c r="AD303" s="14"/>
      <c r="AE303" s="14"/>
      <c r="AF303" s="14"/>
      <c r="AG303" s="15"/>
    </row>
    <row r="304" spans="1:33">
      <c r="A304" s="8" t="s">
        <v>428</v>
      </c>
      <c r="B304" s="9"/>
      <c r="C304" s="8"/>
      <c r="D304" s="9"/>
      <c r="E304" s="9"/>
      <c r="F304" s="8"/>
      <c r="G304" s="10"/>
      <c r="H304" s="10"/>
      <c r="I304" s="10"/>
      <c r="J304" s="10"/>
      <c r="K304" s="10"/>
      <c r="L304" s="11" t="str">
        <f>IF(COUNTBLANK(G304:K304)=5,"",IF(COUNTIF(G304:K304,"No")&gt;0,"EXCLUDE","INCLUDE"))</f>
        <v/>
      </c>
      <c r="M304" s="11" t="str">
        <f>IF(L304&lt;&gt;"EXCLUDE","",IF(G304="No","Wrong domain (non-AECO)",IF(H304="No","Digital Twin not core / buzzword",IF(I304="No","No Design for Safety/Quality/PtD",IF(J304="No","Wrong publication type",IF(K304="No","Non-English",""))))))</f>
        <v/>
      </c>
      <c r="N304" s="12"/>
      <c r="O304" s="12"/>
      <c r="P304" s="13"/>
      <c r="Q304" s="13"/>
      <c r="R304" s="13"/>
      <c r="S304" s="11" t="str">
        <f>IF(N304&lt;&gt;"Yes","",IF(COUNTBLANK(P304:R304)=3,"",IF(COUNTIF(P304:R304,"No")&gt;0,"EXCLUDE","INCLUDE")))</f>
        <v/>
      </c>
      <c r="T304" s="11" t="str">
        <f>IF(S304&lt;&gt;"EXCLUDE","",IF(P304="No","Digital Twin mentioned only, not the subject",IF(Q304="No","No Design for Safety/Quality in full text",IF(R304="No","Methodology not codable",""))))</f>
        <v/>
      </c>
      <c r="U304" s="14"/>
      <c r="V304" s="14"/>
      <c r="W304" s="14"/>
      <c r="X304" s="14"/>
      <c r="Y304" s="11" t="str">
        <f>IF(SUM(V304:X304)=0,"",IF(SUM(V304:X304)&gt;=2,"Multi","Single"))</f>
        <v/>
      </c>
      <c r="Z304" s="14"/>
      <c r="AA304" s="14"/>
      <c r="AB304" s="14"/>
      <c r="AC304" s="14"/>
      <c r="AD304" s="14"/>
      <c r="AE304" s="14"/>
      <c r="AF304" s="14"/>
      <c r="AG304" s="15"/>
    </row>
    <row r="305" spans="1:33">
      <c r="A305" s="8" t="s">
        <v>429</v>
      </c>
      <c r="B305" s="9"/>
      <c r="C305" s="8"/>
      <c r="D305" s="9"/>
      <c r="E305" s="9"/>
      <c r="F305" s="8"/>
      <c r="G305" s="10"/>
      <c r="H305" s="10"/>
      <c r="I305" s="10"/>
      <c r="J305" s="10"/>
      <c r="K305" s="10"/>
      <c r="L305" s="11" t="str">
        <f>IF(COUNTBLANK(G305:K305)=5,"",IF(COUNTIF(G305:K305,"No")&gt;0,"EXCLUDE","INCLUDE"))</f>
        <v/>
      </c>
      <c r="M305" s="11" t="str">
        <f>IF(L305&lt;&gt;"EXCLUDE","",IF(G305="No","Wrong domain (non-AECO)",IF(H305="No","Digital Twin not core / buzzword",IF(I305="No","No Design for Safety/Quality/PtD",IF(J305="No","Wrong publication type",IF(K305="No","Non-English",""))))))</f>
        <v/>
      </c>
      <c r="N305" s="12"/>
      <c r="O305" s="12"/>
      <c r="P305" s="13"/>
      <c r="Q305" s="13"/>
      <c r="R305" s="13"/>
      <c r="S305" s="11" t="str">
        <f>IF(N305&lt;&gt;"Yes","",IF(COUNTBLANK(P305:R305)=3,"",IF(COUNTIF(P305:R305,"No")&gt;0,"EXCLUDE","INCLUDE")))</f>
        <v/>
      </c>
      <c r="T305" s="11" t="str">
        <f>IF(S305&lt;&gt;"EXCLUDE","",IF(P305="No","Digital Twin mentioned only, not the subject",IF(Q305="No","No Design for Safety/Quality in full text",IF(R305="No","Methodology not codable",""))))</f>
        <v/>
      </c>
      <c r="U305" s="14"/>
      <c r="V305" s="14"/>
      <c r="W305" s="14"/>
      <c r="X305" s="14"/>
      <c r="Y305" s="11" t="str">
        <f>IF(SUM(V305:X305)=0,"",IF(SUM(V305:X305)&gt;=2,"Multi","Single"))</f>
        <v/>
      </c>
      <c r="Z305" s="14"/>
      <c r="AA305" s="14"/>
      <c r="AB305" s="14"/>
      <c r="AC305" s="14"/>
      <c r="AD305" s="14"/>
      <c r="AE305" s="14"/>
      <c r="AF305" s="14"/>
      <c r="AG305" s="15"/>
    </row>
    <row r="306" spans="1:33">
      <c r="A306" s="8" t="s">
        <v>430</v>
      </c>
      <c r="B306" s="9"/>
      <c r="C306" s="8"/>
      <c r="D306" s="9"/>
      <c r="E306" s="9"/>
      <c r="F306" s="8"/>
      <c r="G306" s="10"/>
      <c r="H306" s="10"/>
      <c r="I306" s="10"/>
      <c r="J306" s="10"/>
      <c r="K306" s="10"/>
      <c r="L306" s="11" t="str">
        <f>IF(COUNTBLANK(G306:K306)=5,"",IF(COUNTIF(G306:K306,"No")&gt;0,"EXCLUDE","INCLUDE"))</f>
        <v/>
      </c>
      <c r="M306" s="11" t="str">
        <f>IF(L306&lt;&gt;"EXCLUDE","",IF(G306="No","Wrong domain (non-AECO)",IF(H306="No","Digital Twin not core / buzzword",IF(I306="No","No Design for Safety/Quality/PtD",IF(J306="No","Wrong publication type",IF(K306="No","Non-English",""))))))</f>
        <v/>
      </c>
      <c r="N306" s="12"/>
      <c r="O306" s="12"/>
      <c r="P306" s="13"/>
      <c r="Q306" s="13"/>
      <c r="R306" s="13"/>
      <c r="S306" s="11" t="str">
        <f>IF(N306&lt;&gt;"Yes","",IF(COUNTBLANK(P306:R306)=3,"",IF(COUNTIF(P306:R306,"No")&gt;0,"EXCLUDE","INCLUDE")))</f>
        <v/>
      </c>
      <c r="T306" s="11" t="str">
        <f>IF(S306&lt;&gt;"EXCLUDE","",IF(P306="No","Digital Twin mentioned only, not the subject",IF(Q306="No","No Design for Safety/Quality in full text",IF(R306="No","Methodology not codable",""))))</f>
        <v/>
      </c>
      <c r="U306" s="14"/>
      <c r="V306" s="14"/>
      <c r="W306" s="14"/>
      <c r="X306" s="14"/>
      <c r="Y306" s="11" t="str">
        <f>IF(SUM(V306:X306)=0,"",IF(SUM(V306:X306)&gt;=2,"Multi","Single"))</f>
        <v/>
      </c>
      <c r="Z306" s="14"/>
      <c r="AA306" s="14"/>
      <c r="AB306" s="14"/>
      <c r="AC306" s="14"/>
      <c r="AD306" s="14"/>
      <c r="AE306" s="14"/>
      <c r="AF306" s="14"/>
      <c r="AG306" s="15"/>
    </row>
    <row r="307" spans="1:33">
      <c r="A307" s="8" t="s">
        <v>431</v>
      </c>
      <c r="B307" s="9"/>
      <c r="C307" s="8"/>
      <c r="D307" s="9"/>
      <c r="E307" s="9"/>
      <c r="F307" s="8"/>
      <c r="G307" s="10"/>
      <c r="H307" s="10"/>
      <c r="I307" s="10"/>
      <c r="J307" s="10"/>
      <c r="K307" s="10"/>
      <c r="L307" s="11" t="str">
        <f>IF(COUNTBLANK(G307:K307)=5,"",IF(COUNTIF(G307:K307,"No")&gt;0,"EXCLUDE","INCLUDE"))</f>
        <v/>
      </c>
      <c r="M307" s="11" t="str">
        <f>IF(L307&lt;&gt;"EXCLUDE","",IF(G307="No","Wrong domain (non-AECO)",IF(H307="No","Digital Twin not core / buzzword",IF(I307="No","No Design for Safety/Quality/PtD",IF(J307="No","Wrong publication type",IF(K307="No","Non-English",""))))))</f>
        <v/>
      </c>
      <c r="N307" s="12"/>
      <c r="O307" s="12"/>
      <c r="P307" s="13"/>
      <c r="Q307" s="13"/>
      <c r="R307" s="13"/>
      <c r="S307" s="11" t="str">
        <f>IF(N307&lt;&gt;"Yes","",IF(COUNTBLANK(P307:R307)=3,"",IF(COUNTIF(P307:R307,"No")&gt;0,"EXCLUDE","INCLUDE")))</f>
        <v/>
      </c>
      <c r="T307" s="11" t="str">
        <f>IF(S307&lt;&gt;"EXCLUDE","",IF(P307="No","Digital Twin mentioned only, not the subject",IF(Q307="No","No Design for Safety/Quality in full text",IF(R307="No","Methodology not codable",""))))</f>
        <v/>
      </c>
      <c r="U307" s="14"/>
      <c r="V307" s="14"/>
      <c r="W307" s="14"/>
      <c r="X307" s="14"/>
      <c r="Y307" s="11" t="str">
        <f>IF(SUM(V307:X307)=0,"",IF(SUM(V307:X307)&gt;=2,"Multi","Single"))</f>
        <v/>
      </c>
      <c r="Z307" s="14"/>
      <c r="AA307" s="14"/>
      <c r="AB307" s="14"/>
      <c r="AC307" s="14"/>
      <c r="AD307" s="14"/>
      <c r="AE307" s="14"/>
      <c r="AF307" s="14"/>
      <c r="AG307" s="15"/>
    </row>
    <row r="308" spans="1:33">
      <c r="A308" s="8" t="s">
        <v>432</v>
      </c>
      <c r="B308" s="9"/>
      <c r="C308" s="8"/>
      <c r="D308" s="9"/>
      <c r="E308" s="9"/>
      <c r="F308" s="8"/>
      <c r="G308" s="10"/>
      <c r="H308" s="10"/>
      <c r="I308" s="10"/>
      <c r="J308" s="10"/>
      <c r="K308" s="10"/>
      <c r="L308" s="11" t="str">
        <f>IF(COUNTBLANK(G308:K308)=5,"",IF(COUNTIF(G308:K308,"No")&gt;0,"EXCLUDE","INCLUDE"))</f>
        <v/>
      </c>
      <c r="M308" s="11" t="str">
        <f>IF(L308&lt;&gt;"EXCLUDE","",IF(G308="No","Wrong domain (non-AECO)",IF(H308="No","Digital Twin not core / buzzword",IF(I308="No","No Design for Safety/Quality/PtD",IF(J308="No","Wrong publication type",IF(K308="No","Non-English",""))))))</f>
        <v/>
      </c>
      <c r="N308" s="12"/>
      <c r="O308" s="12"/>
      <c r="P308" s="13"/>
      <c r="Q308" s="13"/>
      <c r="R308" s="13"/>
      <c r="S308" s="11" t="str">
        <f>IF(N308&lt;&gt;"Yes","",IF(COUNTBLANK(P308:R308)=3,"",IF(COUNTIF(P308:R308,"No")&gt;0,"EXCLUDE","INCLUDE")))</f>
        <v/>
      </c>
      <c r="T308" s="11" t="str">
        <f>IF(S308&lt;&gt;"EXCLUDE","",IF(P308="No","Digital Twin mentioned only, not the subject",IF(Q308="No","No Design for Safety/Quality in full text",IF(R308="No","Methodology not codable",""))))</f>
        <v/>
      </c>
      <c r="U308" s="14"/>
      <c r="V308" s="14"/>
      <c r="W308" s="14"/>
      <c r="X308" s="14"/>
      <c r="Y308" s="11" t="str">
        <f>IF(SUM(V308:X308)=0,"",IF(SUM(V308:X308)&gt;=2,"Multi","Single"))</f>
        <v/>
      </c>
      <c r="Z308" s="14"/>
      <c r="AA308" s="14"/>
      <c r="AB308" s="14"/>
      <c r="AC308" s="14"/>
      <c r="AD308" s="14"/>
      <c r="AE308" s="14"/>
      <c r="AF308" s="14"/>
      <c r="AG308" s="15"/>
    </row>
    <row r="309" spans="1:33">
      <c r="A309" s="8" t="s">
        <v>433</v>
      </c>
      <c r="B309" s="9"/>
      <c r="C309" s="8"/>
      <c r="D309" s="9"/>
      <c r="E309" s="9"/>
      <c r="F309" s="8"/>
      <c r="G309" s="10"/>
      <c r="H309" s="10"/>
      <c r="I309" s="10"/>
      <c r="J309" s="10"/>
      <c r="K309" s="10"/>
      <c r="L309" s="11" t="str">
        <f>IF(COUNTBLANK(G309:K309)=5,"",IF(COUNTIF(G309:K309,"No")&gt;0,"EXCLUDE","INCLUDE"))</f>
        <v/>
      </c>
      <c r="M309" s="11" t="str">
        <f>IF(L309&lt;&gt;"EXCLUDE","",IF(G309="No","Wrong domain (non-AECO)",IF(H309="No","Digital Twin not core / buzzword",IF(I309="No","No Design for Safety/Quality/PtD",IF(J309="No","Wrong publication type",IF(K309="No","Non-English",""))))))</f>
        <v/>
      </c>
      <c r="N309" s="12"/>
      <c r="O309" s="12"/>
      <c r="P309" s="13"/>
      <c r="Q309" s="13"/>
      <c r="R309" s="13"/>
      <c r="S309" s="11" t="str">
        <f>IF(N309&lt;&gt;"Yes","",IF(COUNTBLANK(P309:R309)=3,"",IF(COUNTIF(P309:R309,"No")&gt;0,"EXCLUDE","INCLUDE")))</f>
        <v/>
      </c>
      <c r="T309" s="11" t="str">
        <f>IF(S309&lt;&gt;"EXCLUDE","",IF(P309="No","Digital Twin mentioned only, not the subject",IF(Q309="No","No Design for Safety/Quality in full text",IF(R309="No","Methodology not codable",""))))</f>
        <v/>
      </c>
      <c r="U309" s="14"/>
      <c r="V309" s="14"/>
      <c r="W309" s="14"/>
      <c r="X309" s="14"/>
      <c r="Y309" s="11" t="str">
        <f>IF(SUM(V309:X309)=0,"",IF(SUM(V309:X309)&gt;=2,"Multi","Single"))</f>
        <v/>
      </c>
      <c r="Z309" s="14"/>
      <c r="AA309" s="14"/>
      <c r="AB309" s="14"/>
      <c r="AC309" s="14"/>
      <c r="AD309" s="14"/>
      <c r="AE309" s="14"/>
      <c r="AF309" s="14"/>
      <c r="AG309" s="15"/>
    </row>
    <row r="310" spans="1:33">
      <c r="A310" s="8" t="s">
        <v>434</v>
      </c>
      <c r="B310" s="9"/>
      <c r="C310" s="8"/>
      <c r="D310" s="9"/>
      <c r="E310" s="9"/>
      <c r="F310" s="8"/>
      <c r="G310" s="10"/>
      <c r="H310" s="10"/>
      <c r="I310" s="10"/>
      <c r="J310" s="10"/>
      <c r="K310" s="10"/>
      <c r="L310" s="11" t="str">
        <f>IF(COUNTBLANK(G310:K310)=5,"",IF(COUNTIF(G310:K310,"No")&gt;0,"EXCLUDE","INCLUDE"))</f>
        <v/>
      </c>
      <c r="M310" s="11" t="str">
        <f>IF(L310&lt;&gt;"EXCLUDE","",IF(G310="No","Wrong domain (non-AECO)",IF(H310="No","Digital Twin not core / buzzword",IF(I310="No","No Design for Safety/Quality/PtD",IF(J310="No","Wrong publication type",IF(K310="No","Non-English",""))))))</f>
        <v/>
      </c>
      <c r="N310" s="12"/>
      <c r="O310" s="12"/>
      <c r="P310" s="13"/>
      <c r="Q310" s="13"/>
      <c r="R310" s="13"/>
      <c r="S310" s="11" t="str">
        <f>IF(N310&lt;&gt;"Yes","",IF(COUNTBLANK(P310:R310)=3,"",IF(COUNTIF(P310:R310,"No")&gt;0,"EXCLUDE","INCLUDE")))</f>
        <v/>
      </c>
      <c r="T310" s="11" t="str">
        <f>IF(S310&lt;&gt;"EXCLUDE","",IF(P310="No","Digital Twin mentioned only, not the subject",IF(Q310="No","No Design for Safety/Quality in full text",IF(R310="No","Methodology not codable",""))))</f>
        <v/>
      </c>
      <c r="U310" s="14"/>
      <c r="V310" s="14"/>
      <c r="W310" s="14"/>
      <c r="X310" s="14"/>
      <c r="Y310" s="11" t="str">
        <f>IF(SUM(V310:X310)=0,"",IF(SUM(V310:X310)&gt;=2,"Multi","Single"))</f>
        <v/>
      </c>
      <c r="Z310" s="14"/>
      <c r="AA310" s="14"/>
      <c r="AB310" s="14"/>
      <c r="AC310" s="14"/>
      <c r="AD310" s="14"/>
      <c r="AE310" s="14"/>
      <c r="AF310" s="14"/>
      <c r="AG310" s="15"/>
    </row>
    <row r="311" spans="1:33">
      <c r="A311" s="8" t="s">
        <v>435</v>
      </c>
      <c r="B311" s="9"/>
      <c r="C311" s="8"/>
      <c r="D311" s="9"/>
      <c r="E311" s="9"/>
      <c r="F311" s="8"/>
      <c r="G311" s="10"/>
      <c r="H311" s="10"/>
      <c r="I311" s="10"/>
      <c r="J311" s="10"/>
      <c r="K311" s="10"/>
      <c r="L311" s="11" t="str">
        <f>IF(COUNTBLANK(G311:K311)=5,"",IF(COUNTIF(G311:K311,"No")&gt;0,"EXCLUDE","INCLUDE"))</f>
        <v/>
      </c>
      <c r="M311" s="11" t="str">
        <f>IF(L311&lt;&gt;"EXCLUDE","",IF(G311="No","Wrong domain (non-AECO)",IF(H311="No","Digital Twin not core / buzzword",IF(I311="No","No Design for Safety/Quality/PtD",IF(J311="No","Wrong publication type",IF(K311="No","Non-English",""))))))</f>
        <v/>
      </c>
      <c r="N311" s="12"/>
      <c r="O311" s="12"/>
      <c r="P311" s="13"/>
      <c r="Q311" s="13"/>
      <c r="R311" s="13"/>
      <c r="S311" s="11" t="str">
        <f>IF(N311&lt;&gt;"Yes","",IF(COUNTBLANK(P311:R311)=3,"",IF(COUNTIF(P311:R311,"No")&gt;0,"EXCLUDE","INCLUDE")))</f>
        <v/>
      </c>
      <c r="T311" s="11" t="str">
        <f>IF(S311&lt;&gt;"EXCLUDE","",IF(P311="No","Digital Twin mentioned only, not the subject",IF(Q311="No","No Design for Safety/Quality in full text",IF(R311="No","Methodology not codable",""))))</f>
        <v/>
      </c>
      <c r="U311" s="14"/>
      <c r="V311" s="14"/>
      <c r="W311" s="14"/>
      <c r="X311" s="14"/>
      <c r="Y311" s="11" t="str">
        <f>IF(SUM(V311:X311)=0,"",IF(SUM(V311:X311)&gt;=2,"Multi","Single"))</f>
        <v/>
      </c>
      <c r="Z311" s="14"/>
      <c r="AA311" s="14"/>
      <c r="AB311" s="14"/>
      <c r="AC311" s="14"/>
      <c r="AD311" s="14"/>
      <c r="AE311" s="14"/>
      <c r="AF311" s="14"/>
      <c r="AG311" s="15"/>
    </row>
    <row r="312" spans="1:33">
      <c r="A312" s="8" t="s">
        <v>436</v>
      </c>
      <c r="B312" s="9"/>
      <c r="C312" s="8"/>
      <c r="D312" s="9"/>
      <c r="E312" s="9"/>
      <c r="F312" s="8"/>
      <c r="G312" s="10"/>
      <c r="H312" s="10"/>
      <c r="I312" s="10"/>
      <c r="J312" s="10"/>
      <c r="K312" s="10"/>
      <c r="L312" s="11" t="str">
        <f>IF(COUNTBLANK(G312:K312)=5,"",IF(COUNTIF(G312:K312,"No")&gt;0,"EXCLUDE","INCLUDE"))</f>
        <v/>
      </c>
      <c r="M312" s="11" t="str">
        <f>IF(L312&lt;&gt;"EXCLUDE","",IF(G312="No","Wrong domain (non-AECO)",IF(H312="No","Digital Twin not core / buzzword",IF(I312="No","No Design for Safety/Quality/PtD",IF(J312="No","Wrong publication type",IF(K312="No","Non-English",""))))))</f>
        <v/>
      </c>
      <c r="N312" s="12"/>
      <c r="O312" s="12"/>
      <c r="P312" s="13"/>
      <c r="Q312" s="13"/>
      <c r="R312" s="13"/>
      <c r="S312" s="11" t="str">
        <f>IF(N312&lt;&gt;"Yes","",IF(COUNTBLANK(P312:R312)=3,"",IF(COUNTIF(P312:R312,"No")&gt;0,"EXCLUDE","INCLUDE")))</f>
        <v/>
      </c>
      <c r="T312" s="11" t="str">
        <f>IF(S312&lt;&gt;"EXCLUDE","",IF(P312="No","Digital Twin mentioned only, not the subject",IF(Q312="No","No Design for Safety/Quality in full text",IF(R312="No","Methodology not codable",""))))</f>
        <v/>
      </c>
      <c r="U312" s="14"/>
      <c r="V312" s="14"/>
      <c r="W312" s="14"/>
      <c r="X312" s="14"/>
      <c r="Y312" s="11" t="str">
        <f>IF(SUM(V312:X312)=0,"",IF(SUM(V312:X312)&gt;=2,"Multi","Single"))</f>
        <v/>
      </c>
      <c r="Z312" s="14"/>
      <c r="AA312" s="14"/>
      <c r="AB312" s="14"/>
      <c r="AC312" s="14"/>
      <c r="AD312" s="14"/>
      <c r="AE312" s="14"/>
      <c r="AF312" s="14"/>
      <c r="AG312" s="15"/>
    </row>
    <row r="313" spans="1:33">
      <c r="A313" s="8" t="s">
        <v>437</v>
      </c>
      <c r="B313" s="9"/>
      <c r="C313" s="8"/>
      <c r="D313" s="9"/>
      <c r="E313" s="9"/>
      <c r="F313" s="8"/>
      <c r="G313" s="10"/>
      <c r="H313" s="10"/>
      <c r="I313" s="10"/>
      <c r="J313" s="10"/>
      <c r="K313" s="10"/>
      <c r="L313" s="11" t="str">
        <f>IF(COUNTBLANK(G313:K313)=5,"",IF(COUNTIF(G313:K313,"No")&gt;0,"EXCLUDE","INCLUDE"))</f>
        <v/>
      </c>
      <c r="M313" s="11" t="str">
        <f>IF(L313&lt;&gt;"EXCLUDE","",IF(G313="No","Wrong domain (non-AECO)",IF(H313="No","Digital Twin not core / buzzword",IF(I313="No","No Design for Safety/Quality/PtD",IF(J313="No","Wrong publication type",IF(K313="No","Non-English",""))))))</f>
        <v/>
      </c>
      <c r="N313" s="12"/>
      <c r="O313" s="12"/>
      <c r="P313" s="13"/>
      <c r="Q313" s="13"/>
      <c r="R313" s="13"/>
      <c r="S313" s="11" t="str">
        <f>IF(N313&lt;&gt;"Yes","",IF(COUNTBLANK(P313:R313)=3,"",IF(COUNTIF(P313:R313,"No")&gt;0,"EXCLUDE","INCLUDE")))</f>
        <v/>
      </c>
      <c r="T313" s="11" t="str">
        <f>IF(S313&lt;&gt;"EXCLUDE","",IF(P313="No","Digital Twin mentioned only, not the subject",IF(Q313="No","No Design for Safety/Quality in full text",IF(R313="No","Methodology not codable",""))))</f>
        <v/>
      </c>
      <c r="U313" s="14"/>
      <c r="V313" s="14"/>
      <c r="W313" s="14"/>
      <c r="X313" s="14"/>
      <c r="Y313" s="11" t="str">
        <f>IF(SUM(V313:X313)=0,"",IF(SUM(V313:X313)&gt;=2,"Multi","Single"))</f>
        <v/>
      </c>
      <c r="Z313" s="14"/>
      <c r="AA313" s="14"/>
      <c r="AB313" s="14"/>
      <c r="AC313" s="14"/>
      <c r="AD313" s="14"/>
      <c r="AE313" s="14"/>
      <c r="AF313" s="14"/>
      <c r="AG313" s="15"/>
    </row>
    <row r="314" spans="1:33">
      <c r="A314" s="8" t="s">
        <v>438</v>
      </c>
      <c r="B314" s="9"/>
      <c r="C314" s="8"/>
      <c r="D314" s="9"/>
      <c r="E314" s="9"/>
      <c r="F314" s="8"/>
      <c r="G314" s="10"/>
      <c r="H314" s="10"/>
      <c r="I314" s="10"/>
      <c r="J314" s="10"/>
      <c r="K314" s="10"/>
      <c r="L314" s="11" t="str">
        <f>IF(COUNTBLANK(G314:K314)=5,"",IF(COUNTIF(G314:K314,"No")&gt;0,"EXCLUDE","INCLUDE"))</f>
        <v/>
      </c>
      <c r="M314" s="11" t="str">
        <f>IF(L314&lt;&gt;"EXCLUDE","",IF(G314="No","Wrong domain (non-AECO)",IF(H314="No","Digital Twin not core / buzzword",IF(I314="No","No Design for Safety/Quality/PtD",IF(J314="No","Wrong publication type",IF(K314="No","Non-English",""))))))</f>
        <v/>
      </c>
      <c r="N314" s="12"/>
      <c r="O314" s="12"/>
      <c r="P314" s="13"/>
      <c r="Q314" s="13"/>
      <c r="R314" s="13"/>
      <c r="S314" s="11" t="str">
        <f>IF(N314&lt;&gt;"Yes","",IF(COUNTBLANK(P314:R314)=3,"",IF(COUNTIF(P314:R314,"No")&gt;0,"EXCLUDE","INCLUDE")))</f>
        <v/>
      </c>
      <c r="T314" s="11" t="str">
        <f>IF(S314&lt;&gt;"EXCLUDE","",IF(P314="No","Digital Twin mentioned only, not the subject",IF(Q314="No","No Design for Safety/Quality in full text",IF(R314="No","Methodology not codable",""))))</f>
        <v/>
      </c>
      <c r="U314" s="14"/>
      <c r="V314" s="14"/>
      <c r="W314" s="14"/>
      <c r="X314" s="14"/>
      <c r="Y314" s="11" t="str">
        <f>IF(SUM(V314:X314)=0,"",IF(SUM(V314:X314)&gt;=2,"Multi","Single"))</f>
        <v/>
      </c>
      <c r="Z314" s="14"/>
      <c r="AA314" s="14"/>
      <c r="AB314" s="14"/>
      <c r="AC314" s="14"/>
      <c r="AD314" s="14"/>
      <c r="AE314" s="14"/>
      <c r="AF314" s="14"/>
      <c r="AG314" s="15"/>
    </row>
    <row r="315" spans="1:33">
      <c r="A315" s="8" t="s">
        <v>439</v>
      </c>
      <c r="B315" s="9"/>
      <c r="C315" s="8"/>
      <c r="D315" s="9"/>
      <c r="E315" s="9"/>
      <c r="F315" s="8"/>
      <c r="G315" s="10"/>
      <c r="H315" s="10"/>
      <c r="I315" s="10"/>
      <c r="J315" s="10"/>
      <c r="K315" s="10"/>
      <c r="L315" s="11" t="str">
        <f>IF(COUNTBLANK(G315:K315)=5,"",IF(COUNTIF(G315:K315,"No")&gt;0,"EXCLUDE","INCLUDE"))</f>
        <v/>
      </c>
      <c r="M315" s="11" t="str">
        <f>IF(L315&lt;&gt;"EXCLUDE","",IF(G315="No","Wrong domain (non-AECO)",IF(H315="No","Digital Twin not core / buzzword",IF(I315="No","No Design for Safety/Quality/PtD",IF(J315="No","Wrong publication type",IF(K315="No","Non-English",""))))))</f>
        <v/>
      </c>
      <c r="N315" s="12"/>
      <c r="O315" s="12"/>
      <c r="P315" s="13"/>
      <c r="Q315" s="13"/>
      <c r="R315" s="13"/>
      <c r="S315" s="11" t="str">
        <f>IF(N315&lt;&gt;"Yes","",IF(COUNTBLANK(P315:R315)=3,"",IF(COUNTIF(P315:R315,"No")&gt;0,"EXCLUDE","INCLUDE")))</f>
        <v/>
      </c>
      <c r="T315" s="11" t="str">
        <f>IF(S315&lt;&gt;"EXCLUDE","",IF(P315="No","Digital Twin mentioned only, not the subject",IF(Q315="No","No Design for Safety/Quality in full text",IF(R315="No","Methodology not codable",""))))</f>
        <v/>
      </c>
      <c r="U315" s="14"/>
      <c r="V315" s="14"/>
      <c r="W315" s="14"/>
      <c r="X315" s="14"/>
      <c r="Y315" s="11" t="str">
        <f>IF(SUM(V315:X315)=0,"",IF(SUM(V315:X315)&gt;=2,"Multi","Single"))</f>
        <v/>
      </c>
      <c r="Z315" s="14"/>
      <c r="AA315" s="14"/>
      <c r="AB315" s="14"/>
      <c r="AC315" s="14"/>
      <c r="AD315" s="14"/>
      <c r="AE315" s="14"/>
      <c r="AF315" s="14"/>
      <c r="AG315" s="15"/>
    </row>
    <row r="316" spans="1:33">
      <c r="A316" s="8" t="s">
        <v>440</v>
      </c>
      <c r="B316" s="9"/>
      <c r="C316" s="8"/>
      <c r="D316" s="9"/>
      <c r="E316" s="9"/>
      <c r="F316" s="8"/>
      <c r="G316" s="10"/>
      <c r="H316" s="10"/>
      <c r="I316" s="10"/>
      <c r="J316" s="10"/>
      <c r="K316" s="10"/>
      <c r="L316" s="11" t="str">
        <f>IF(COUNTBLANK(G316:K316)=5,"",IF(COUNTIF(G316:K316,"No")&gt;0,"EXCLUDE","INCLUDE"))</f>
        <v/>
      </c>
      <c r="M316" s="11" t="str">
        <f>IF(L316&lt;&gt;"EXCLUDE","",IF(G316="No","Wrong domain (non-AECO)",IF(H316="No","Digital Twin not core / buzzword",IF(I316="No","No Design for Safety/Quality/PtD",IF(J316="No","Wrong publication type",IF(K316="No","Non-English",""))))))</f>
        <v/>
      </c>
      <c r="N316" s="12"/>
      <c r="O316" s="12"/>
      <c r="P316" s="13"/>
      <c r="Q316" s="13"/>
      <c r="R316" s="13"/>
      <c r="S316" s="11" t="str">
        <f>IF(N316&lt;&gt;"Yes","",IF(COUNTBLANK(P316:R316)=3,"",IF(COUNTIF(P316:R316,"No")&gt;0,"EXCLUDE","INCLUDE")))</f>
        <v/>
      </c>
      <c r="T316" s="11" t="str">
        <f>IF(S316&lt;&gt;"EXCLUDE","",IF(P316="No","Digital Twin mentioned only, not the subject",IF(Q316="No","No Design for Safety/Quality in full text",IF(R316="No","Methodology not codable",""))))</f>
        <v/>
      </c>
      <c r="U316" s="14"/>
      <c r="V316" s="14"/>
      <c r="W316" s="14"/>
      <c r="X316" s="14"/>
      <c r="Y316" s="11" t="str">
        <f>IF(SUM(V316:X316)=0,"",IF(SUM(V316:X316)&gt;=2,"Multi","Single"))</f>
        <v/>
      </c>
      <c r="Z316" s="14"/>
      <c r="AA316" s="14"/>
      <c r="AB316" s="14"/>
      <c r="AC316" s="14"/>
      <c r="AD316" s="14"/>
      <c r="AE316" s="14"/>
      <c r="AF316" s="14"/>
      <c r="AG316" s="15"/>
    </row>
    <row r="317" spans="1:33">
      <c r="A317" s="8" t="s">
        <v>441</v>
      </c>
      <c r="B317" s="9"/>
      <c r="C317" s="8"/>
      <c r="D317" s="9"/>
      <c r="E317" s="9"/>
      <c r="F317" s="8"/>
      <c r="G317" s="10"/>
      <c r="H317" s="10"/>
      <c r="I317" s="10"/>
      <c r="J317" s="10"/>
      <c r="K317" s="10"/>
      <c r="L317" s="11" t="str">
        <f>IF(COUNTBLANK(G317:K317)=5,"",IF(COUNTIF(G317:K317,"No")&gt;0,"EXCLUDE","INCLUDE"))</f>
        <v/>
      </c>
      <c r="M317" s="11" t="str">
        <f>IF(L317&lt;&gt;"EXCLUDE","",IF(G317="No","Wrong domain (non-AECO)",IF(H317="No","Digital Twin not core / buzzword",IF(I317="No","No Design for Safety/Quality/PtD",IF(J317="No","Wrong publication type",IF(K317="No","Non-English",""))))))</f>
        <v/>
      </c>
      <c r="N317" s="12"/>
      <c r="O317" s="12"/>
      <c r="P317" s="13"/>
      <c r="Q317" s="13"/>
      <c r="R317" s="13"/>
      <c r="S317" s="11" t="str">
        <f>IF(N317&lt;&gt;"Yes","",IF(COUNTBLANK(P317:R317)=3,"",IF(COUNTIF(P317:R317,"No")&gt;0,"EXCLUDE","INCLUDE")))</f>
        <v/>
      </c>
      <c r="T317" s="11" t="str">
        <f>IF(S317&lt;&gt;"EXCLUDE","",IF(P317="No","Digital Twin mentioned only, not the subject",IF(Q317="No","No Design for Safety/Quality in full text",IF(R317="No","Methodology not codable",""))))</f>
        <v/>
      </c>
      <c r="U317" s="14"/>
      <c r="V317" s="14"/>
      <c r="W317" s="14"/>
      <c r="X317" s="14"/>
      <c r="Y317" s="11" t="str">
        <f>IF(SUM(V317:X317)=0,"",IF(SUM(V317:X317)&gt;=2,"Multi","Single"))</f>
        <v/>
      </c>
      <c r="Z317" s="14"/>
      <c r="AA317" s="14"/>
      <c r="AB317" s="14"/>
      <c r="AC317" s="14"/>
      <c r="AD317" s="14"/>
      <c r="AE317" s="14"/>
      <c r="AF317" s="14"/>
      <c r="AG317" s="15"/>
    </row>
    <row r="318" spans="1:33">
      <c r="A318" s="8" t="s">
        <v>442</v>
      </c>
      <c r="B318" s="9"/>
      <c r="C318" s="8"/>
      <c r="D318" s="9"/>
      <c r="E318" s="9"/>
      <c r="F318" s="8"/>
      <c r="G318" s="10"/>
      <c r="H318" s="10"/>
      <c r="I318" s="10"/>
      <c r="J318" s="10"/>
      <c r="K318" s="10"/>
      <c r="L318" s="11" t="str">
        <f>IF(COUNTBLANK(G318:K318)=5,"",IF(COUNTIF(G318:K318,"No")&gt;0,"EXCLUDE","INCLUDE"))</f>
        <v/>
      </c>
      <c r="M318" s="11" t="str">
        <f>IF(L318&lt;&gt;"EXCLUDE","",IF(G318="No","Wrong domain (non-AECO)",IF(H318="No","Digital Twin not core / buzzword",IF(I318="No","No Design for Safety/Quality/PtD",IF(J318="No","Wrong publication type",IF(K318="No","Non-English",""))))))</f>
        <v/>
      </c>
      <c r="N318" s="12"/>
      <c r="O318" s="12"/>
      <c r="P318" s="13"/>
      <c r="Q318" s="13"/>
      <c r="R318" s="13"/>
      <c r="S318" s="11" t="str">
        <f>IF(N318&lt;&gt;"Yes","",IF(COUNTBLANK(P318:R318)=3,"",IF(COUNTIF(P318:R318,"No")&gt;0,"EXCLUDE","INCLUDE")))</f>
        <v/>
      </c>
      <c r="T318" s="11" t="str">
        <f>IF(S318&lt;&gt;"EXCLUDE","",IF(P318="No","Digital Twin mentioned only, not the subject",IF(Q318="No","No Design for Safety/Quality in full text",IF(R318="No","Methodology not codable",""))))</f>
        <v/>
      </c>
      <c r="U318" s="14"/>
      <c r="V318" s="14"/>
      <c r="W318" s="14"/>
      <c r="X318" s="14"/>
      <c r="Y318" s="11" t="str">
        <f>IF(SUM(V318:X318)=0,"",IF(SUM(V318:X318)&gt;=2,"Multi","Single"))</f>
        <v/>
      </c>
      <c r="Z318" s="14"/>
      <c r="AA318" s="14"/>
      <c r="AB318" s="14"/>
      <c r="AC318" s="14"/>
      <c r="AD318" s="14"/>
      <c r="AE318" s="14"/>
      <c r="AF318" s="14"/>
      <c r="AG318" s="15"/>
    </row>
    <row r="319" spans="1:33">
      <c r="A319" s="8" t="s">
        <v>443</v>
      </c>
      <c r="B319" s="9"/>
      <c r="C319" s="8"/>
      <c r="D319" s="9"/>
      <c r="E319" s="9"/>
      <c r="F319" s="8"/>
      <c r="G319" s="10"/>
      <c r="H319" s="10"/>
      <c r="I319" s="10"/>
      <c r="J319" s="10"/>
      <c r="K319" s="10"/>
      <c r="L319" s="11" t="str">
        <f>IF(COUNTBLANK(G319:K319)=5,"",IF(COUNTIF(G319:K319,"No")&gt;0,"EXCLUDE","INCLUDE"))</f>
        <v/>
      </c>
      <c r="M319" s="11" t="str">
        <f>IF(L319&lt;&gt;"EXCLUDE","",IF(G319="No","Wrong domain (non-AECO)",IF(H319="No","Digital Twin not core / buzzword",IF(I319="No","No Design for Safety/Quality/PtD",IF(J319="No","Wrong publication type",IF(K319="No","Non-English",""))))))</f>
        <v/>
      </c>
      <c r="N319" s="12"/>
      <c r="O319" s="12"/>
      <c r="P319" s="13"/>
      <c r="Q319" s="13"/>
      <c r="R319" s="13"/>
      <c r="S319" s="11" t="str">
        <f>IF(N319&lt;&gt;"Yes","",IF(COUNTBLANK(P319:R319)=3,"",IF(COUNTIF(P319:R319,"No")&gt;0,"EXCLUDE","INCLUDE")))</f>
        <v/>
      </c>
      <c r="T319" s="11" t="str">
        <f>IF(S319&lt;&gt;"EXCLUDE","",IF(P319="No","Digital Twin mentioned only, not the subject",IF(Q319="No","No Design for Safety/Quality in full text",IF(R319="No","Methodology not codable",""))))</f>
        <v/>
      </c>
      <c r="U319" s="14"/>
      <c r="V319" s="14"/>
      <c r="W319" s="14"/>
      <c r="X319" s="14"/>
      <c r="Y319" s="11" t="str">
        <f>IF(SUM(V319:X319)=0,"",IF(SUM(V319:X319)&gt;=2,"Multi","Single"))</f>
        <v/>
      </c>
      <c r="Z319" s="14"/>
      <c r="AA319" s="14"/>
      <c r="AB319" s="14"/>
      <c r="AC319" s="14"/>
      <c r="AD319" s="14"/>
      <c r="AE319" s="14"/>
      <c r="AF319" s="14"/>
      <c r="AG319" s="15"/>
    </row>
    <row r="320" spans="1:33">
      <c r="A320" s="8" t="s">
        <v>444</v>
      </c>
      <c r="B320" s="9"/>
      <c r="C320" s="8"/>
      <c r="D320" s="9"/>
      <c r="E320" s="9"/>
      <c r="F320" s="8"/>
      <c r="G320" s="10"/>
      <c r="H320" s="10"/>
      <c r="I320" s="10"/>
      <c r="J320" s="10"/>
      <c r="K320" s="10"/>
      <c r="L320" s="11" t="str">
        <f>IF(COUNTBLANK(G320:K320)=5,"",IF(COUNTIF(G320:K320,"No")&gt;0,"EXCLUDE","INCLUDE"))</f>
        <v/>
      </c>
      <c r="M320" s="11" t="str">
        <f>IF(L320&lt;&gt;"EXCLUDE","",IF(G320="No","Wrong domain (non-AECO)",IF(H320="No","Digital Twin not core / buzzword",IF(I320="No","No Design for Safety/Quality/PtD",IF(J320="No","Wrong publication type",IF(K320="No","Non-English",""))))))</f>
        <v/>
      </c>
      <c r="N320" s="12"/>
      <c r="O320" s="12"/>
      <c r="P320" s="13"/>
      <c r="Q320" s="13"/>
      <c r="R320" s="13"/>
      <c r="S320" s="11" t="str">
        <f>IF(N320&lt;&gt;"Yes","",IF(COUNTBLANK(P320:R320)=3,"",IF(COUNTIF(P320:R320,"No")&gt;0,"EXCLUDE","INCLUDE")))</f>
        <v/>
      </c>
      <c r="T320" s="11" t="str">
        <f>IF(S320&lt;&gt;"EXCLUDE","",IF(P320="No","Digital Twin mentioned only, not the subject",IF(Q320="No","No Design for Safety/Quality in full text",IF(R320="No","Methodology not codable",""))))</f>
        <v/>
      </c>
      <c r="U320" s="14"/>
      <c r="V320" s="14"/>
      <c r="W320" s="14"/>
      <c r="X320" s="14"/>
      <c r="Y320" s="11" t="str">
        <f>IF(SUM(V320:X320)=0,"",IF(SUM(V320:X320)&gt;=2,"Multi","Single"))</f>
        <v/>
      </c>
      <c r="Z320" s="14"/>
      <c r="AA320" s="14"/>
      <c r="AB320" s="14"/>
      <c r="AC320" s="14"/>
      <c r="AD320" s="14"/>
      <c r="AE320" s="14"/>
      <c r="AF320" s="14"/>
      <c r="AG320" s="15"/>
    </row>
    <row r="321" spans="1:33">
      <c r="A321" s="8" t="s">
        <v>445</v>
      </c>
      <c r="B321" s="9"/>
      <c r="C321" s="8"/>
      <c r="D321" s="9"/>
      <c r="E321" s="9"/>
      <c r="F321" s="8"/>
      <c r="G321" s="10"/>
      <c r="H321" s="10"/>
      <c r="I321" s="10"/>
      <c r="J321" s="10"/>
      <c r="K321" s="10"/>
      <c r="L321" s="11" t="str">
        <f>IF(COUNTBLANK(G321:K321)=5,"",IF(COUNTIF(G321:K321,"No")&gt;0,"EXCLUDE","INCLUDE"))</f>
        <v/>
      </c>
      <c r="M321" s="11" t="str">
        <f>IF(L321&lt;&gt;"EXCLUDE","",IF(G321="No","Wrong domain (non-AECO)",IF(H321="No","Digital Twin not core / buzzword",IF(I321="No","No Design for Safety/Quality/PtD",IF(J321="No","Wrong publication type",IF(K321="No","Non-English",""))))))</f>
        <v/>
      </c>
      <c r="N321" s="12"/>
      <c r="O321" s="12"/>
      <c r="P321" s="13"/>
      <c r="Q321" s="13"/>
      <c r="R321" s="13"/>
      <c r="S321" s="11" t="str">
        <f>IF(N321&lt;&gt;"Yes","",IF(COUNTBLANK(P321:R321)=3,"",IF(COUNTIF(P321:R321,"No")&gt;0,"EXCLUDE","INCLUDE")))</f>
        <v/>
      </c>
      <c r="T321" s="11" t="str">
        <f>IF(S321&lt;&gt;"EXCLUDE","",IF(P321="No","Digital Twin mentioned only, not the subject",IF(Q321="No","No Design for Safety/Quality in full text",IF(R321="No","Methodology not codable",""))))</f>
        <v/>
      </c>
      <c r="U321" s="14"/>
      <c r="V321" s="14"/>
      <c r="W321" s="14"/>
      <c r="X321" s="14"/>
      <c r="Y321" s="11" t="str">
        <f>IF(SUM(V321:X321)=0,"",IF(SUM(V321:X321)&gt;=2,"Multi","Single"))</f>
        <v/>
      </c>
      <c r="Z321" s="14"/>
      <c r="AA321" s="14"/>
      <c r="AB321" s="14"/>
      <c r="AC321" s="14"/>
      <c r="AD321" s="14"/>
      <c r="AE321" s="14"/>
      <c r="AF321" s="14"/>
      <c r="AG321" s="15"/>
    </row>
    <row r="322" spans="1:33">
      <c r="A322" s="8" t="s">
        <v>446</v>
      </c>
      <c r="B322" s="9"/>
      <c r="C322" s="8"/>
      <c r="D322" s="9"/>
      <c r="E322" s="9"/>
      <c r="F322" s="8"/>
      <c r="G322" s="10"/>
      <c r="H322" s="10"/>
      <c r="I322" s="10"/>
      <c r="J322" s="10"/>
      <c r="K322" s="10"/>
      <c r="L322" s="11" t="str">
        <f>IF(COUNTBLANK(G322:K322)=5,"",IF(COUNTIF(G322:K322,"No")&gt;0,"EXCLUDE","INCLUDE"))</f>
        <v/>
      </c>
      <c r="M322" s="11" t="str">
        <f>IF(L322&lt;&gt;"EXCLUDE","",IF(G322="No","Wrong domain (non-AECO)",IF(H322="No","Digital Twin not core / buzzword",IF(I322="No","No Design for Safety/Quality/PtD",IF(J322="No","Wrong publication type",IF(K322="No","Non-English",""))))))</f>
        <v/>
      </c>
      <c r="N322" s="12"/>
      <c r="O322" s="12"/>
      <c r="P322" s="13"/>
      <c r="Q322" s="13"/>
      <c r="R322" s="13"/>
      <c r="S322" s="11" t="str">
        <f>IF(N322&lt;&gt;"Yes","",IF(COUNTBLANK(P322:R322)=3,"",IF(COUNTIF(P322:R322,"No")&gt;0,"EXCLUDE","INCLUDE")))</f>
        <v/>
      </c>
      <c r="T322" s="11" t="str">
        <f>IF(S322&lt;&gt;"EXCLUDE","",IF(P322="No","Digital Twin mentioned only, not the subject",IF(Q322="No","No Design for Safety/Quality in full text",IF(R322="No","Methodology not codable",""))))</f>
        <v/>
      </c>
      <c r="U322" s="14"/>
      <c r="V322" s="14"/>
      <c r="W322" s="14"/>
      <c r="X322" s="14"/>
      <c r="Y322" s="11" t="str">
        <f>IF(SUM(V322:X322)=0,"",IF(SUM(V322:X322)&gt;=2,"Multi","Single"))</f>
        <v/>
      </c>
      <c r="Z322" s="14"/>
      <c r="AA322" s="14"/>
      <c r="AB322" s="14"/>
      <c r="AC322" s="14"/>
      <c r="AD322" s="14"/>
      <c r="AE322" s="14"/>
      <c r="AF322" s="14"/>
      <c r="AG322" s="15"/>
    </row>
    <row r="323" spans="1:33">
      <c r="A323" s="8" t="s">
        <v>447</v>
      </c>
      <c r="B323" s="9"/>
      <c r="C323" s="8"/>
      <c r="D323" s="9"/>
      <c r="E323" s="9"/>
      <c r="F323" s="8"/>
      <c r="G323" s="10"/>
      <c r="H323" s="10"/>
      <c r="I323" s="10"/>
      <c r="J323" s="10"/>
      <c r="K323" s="10"/>
      <c r="L323" s="11" t="str">
        <f>IF(COUNTBLANK(G323:K323)=5,"",IF(COUNTIF(G323:K323,"No")&gt;0,"EXCLUDE","INCLUDE"))</f>
        <v/>
      </c>
      <c r="M323" s="11" t="str">
        <f>IF(L323&lt;&gt;"EXCLUDE","",IF(G323="No","Wrong domain (non-AECO)",IF(H323="No","Digital Twin not core / buzzword",IF(I323="No","No Design for Safety/Quality/PtD",IF(J323="No","Wrong publication type",IF(K323="No","Non-English",""))))))</f>
        <v/>
      </c>
      <c r="N323" s="12"/>
      <c r="O323" s="12"/>
      <c r="P323" s="13"/>
      <c r="Q323" s="13"/>
      <c r="R323" s="13"/>
      <c r="S323" s="11" t="str">
        <f>IF(N323&lt;&gt;"Yes","",IF(COUNTBLANK(P323:R323)=3,"",IF(COUNTIF(P323:R323,"No")&gt;0,"EXCLUDE","INCLUDE")))</f>
        <v/>
      </c>
      <c r="T323" s="11" t="str">
        <f>IF(S323&lt;&gt;"EXCLUDE","",IF(P323="No","Digital Twin mentioned only, not the subject",IF(Q323="No","No Design for Safety/Quality in full text",IF(R323="No","Methodology not codable",""))))</f>
        <v/>
      </c>
      <c r="U323" s="14"/>
      <c r="V323" s="14"/>
      <c r="W323" s="14"/>
      <c r="X323" s="14"/>
      <c r="Y323" s="11" t="str">
        <f>IF(SUM(V323:X323)=0,"",IF(SUM(V323:X323)&gt;=2,"Multi","Single"))</f>
        <v/>
      </c>
      <c r="Z323" s="14"/>
      <c r="AA323" s="14"/>
      <c r="AB323" s="14"/>
      <c r="AC323" s="14"/>
      <c r="AD323" s="14"/>
      <c r="AE323" s="14"/>
      <c r="AF323" s="14"/>
      <c r="AG323" s="15"/>
    </row>
    <row r="324" spans="1:33">
      <c r="A324" s="8" t="s">
        <v>448</v>
      </c>
      <c r="B324" s="9"/>
      <c r="C324" s="8"/>
      <c r="D324" s="9"/>
      <c r="E324" s="9"/>
      <c r="F324" s="8"/>
      <c r="G324" s="10"/>
      <c r="H324" s="10"/>
      <c r="I324" s="10"/>
      <c r="J324" s="10"/>
      <c r="K324" s="10"/>
      <c r="L324" s="11" t="str">
        <f>IF(COUNTBLANK(G324:K324)=5,"",IF(COUNTIF(G324:K324,"No")&gt;0,"EXCLUDE","INCLUDE"))</f>
        <v/>
      </c>
      <c r="M324" s="11" t="str">
        <f>IF(L324&lt;&gt;"EXCLUDE","",IF(G324="No","Wrong domain (non-AECO)",IF(H324="No","Digital Twin not core / buzzword",IF(I324="No","No Design for Safety/Quality/PtD",IF(J324="No","Wrong publication type",IF(K324="No","Non-English",""))))))</f>
        <v/>
      </c>
      <c r="N324" s="12"/>
      <c r="O324" s="12"/>
      <c r="P324" s="13"/>
      <c r="Q324" s="13"/>
      <c r="R324" s="13"/>
      <c r="S324" s="11" t="str">
        <f>IF(N324&lt;&gt;"Yes","",IF(COUNTBLANK(P324:R324)=3,"",IF(COUNTIF(P324:R324,"No")&gt;0,"EXCLUDE","INCLUDE")))</f>
        <v/>
      </c>
      <c r="T324" s="11" t="str">
        <f>IF(S324&lt;&gt;"EXCLUDE","",IF(P324="No","Digital Twin mentioned only, not the subject",IF(Q324="No","No Design for Safety/Quality in full text",IF(R324="No","Methodology not codable",""))))</f>
        <v/>
      </c>
      <c r="U324" s="14"/>
      <c r="V324" s="14"/>
      <c r="W324" s="14"/>
      <c r="X324" s="14"/>
      <c r="Y324" s="11" t="str">
        <f>IF(SUM(V324:X324)=0,"",IF(SUM(V324:X324)&gt;=2,"Multi","Single"))</f>
        <v/>
      </c>
      <c r="Z324" s="14"/>
      <c r="AA324" s="14"/>
      <c r="AB324" s="14"/>
      <c r="AC324" s="14"/>
      <c r="AD324" s="14"/>
      <c r="AE324" s="14"/>
      <c r="AF324" s="14"/>
      <c r="AG324" s="15"/>
    </row>
    <row r="325" spans="1:33">
      <c r="A325" s="8" t="s">
        <v>449</v>
      </c>
      <c r="B325" s="9"/>
      <c r="C325" s="8"/>
      <c r="D325" s="9"/>
      <c r="E325" s="9"/>
      <c r="F325" s="8"/>
      <c r="G325" s="10"/>
      <c r="H325" s="10"/>
      <c r="I325" s="10"/>
      <c r="J325" s="10"/>
      <c r="K325" s="10"/>
      <c r="L325" s="11" t="str">
        <f>IF(COUNTBLANK(G325:K325)=5,"",IF(COUNTIF(G325:K325,"No")&gt;0,"EXCLUDE","INCLUDE"))</f>
        <v/>
      </c>
      <c r="M325" s="11" t="str">
        <f>IF(L325&lt;&gt;"EXCLUDE","",IF(G325="No","Wrong domain (non-AECO)",IF(H325="No","Digital Twin not core / buzzword",IF(I325="No","No Design for Safety/Quality/PtD",IF(J325="No","Wrong publication type",IF(K325="No","Non-English",""))))))</f>
        <v/>
      </c>
      <c r="N325" s="12"/>
      <c r="O325" s="12"/>
      <c r="P325" s="13"/>
      <c r="Q325" s="13"/>
      <c r="R325" s="13"/>
      <c r="S325" s="11" t="str">
        <f>IF(N325&lt;&gt;"Yes","",IF(COUNTBLANK(P325:R325)=3,"",IF(COUNTIF(P325:R325,"No")&gt;0,"EXCLUDE","INCLUDE")))</f>
        <v/>
      </c>
      <c r="T325" s="11" t="str">
        <f>IF(S325&lt;&gt;"EXCLUDE","",IF(P325="No","Digital Twin mentioned only, not the subject",IF(Q325="No","No Design for Safety/Quality in full text",IF(R325="No","Methodology not codable",""))))</f>
        <v/>
      </c>
      <c r="U325" s="14"/>
      <c r="V325" s="14"/>
      <c r="W325" s="14"/>
      <c r="X325" s="14"/>
      <c r="Y325" s="11" t="str">
        <f>IF(SUM(V325:X325)=0,"",IF(SUM(V325:X325)&gt;=2,"Multi","Single"))</f>
        <v/>
      </c>
      <c r="Z325" s="14"/>
      <c r="AA325" s="14"/>
      <c r="AB325" s="14"/>
      <c r="AC325" s="14"/>
      <c r="AD325" s="14"/>
      <c r="AE325" s="14"/>
      <c r="AF325" s="14"/>
      <c r="AG325" s="15"/>
    </row>
    <row r="326" spans="1:33">
      <c r="A326" s="8" t="s">
        <v>450</v>
      </c>
      <c r="B326" s="9"/>
      <c r="C326" s="8"/>
      <c r="D326" s="9"/>
      <c r="E326" s="9"/>
      <c r="F326" s="8"/>
      <c r="G326" s="10"/>
      <c r="H326" s="10"/>
      <c r="I326" s="10"/>
      <c r="J326" s="10"/>
      <c r="K326" s="10"/>
      <c r="L326" s="11" t="str">
        <f>IF(COUNTBLANK(G326:K326)=5,"",IF(COUNTIF(G326:K326,"No")&gt;0,"EXCLUDE","INCLUDE"))</f>
        <v/>
      </c>
      <c r="M326" s="11" t="str">
        <f>IF(L326&lt;&gt;"EXCLUDE","",IF(G326="No","Wrong domain (non-AECO)",IF(H326="No","Digital Twin not core / buzzword",IF(I326="No","No Design for Safety/Quality/PtD",IF(J326="No","Wrong publication type",IF(K326="No","Non-English",""))))))</f>
        <v/>
      </c>
      <c r="N326" s="12"/>
      <c r="O326" s="12"/>
      <c r="P326" s="13"/>
      <c r="Q326" s="13"/>
      <c r="R326" s="13"/>
      <c r="S326" s="11" t="str">
        <f>IF(N326&lt;&gt;"Yes","",IF(COUNTBLANK(P326:R326)=3,"",IF(COUNTIF(P326:R326,"No")&gt;0,"EXCLUDE","INCLUDE")))</f>
        <v/>
      </c>
      <c r="T326" s="11" t="str">
        <f>IF(S326&lt;&gt;"EXCLUDE","",IF(P326="No","Digital Twin mentioned only, not the subject",IF(Q326="No","No Design for Safety/Quality in full text",IF(R326="No","Methodology not codable",""))))</f>
        <v/>
      </c>
      <c r="U326" s="14"/>
      <c r="V326" s="14"/>
      <c r="W326" s="14"/>
      <c r="X326" s="14"/>
      <c r="Y326" s="11" t="str">
        <f>IF(SUM(V326:X326)=0,"",IF(SUM(V326:X326)&gt;=2,"Multi","Single"))</f>
        <v/>
      </c>
      <c r="Z326" s="14"/>
      <c r="AA326" s="14"/>
      <c r="AB326" s="14"/>
      <c r="AC326" s="14"/>
      <c r="AD326" s="14"/>
      <c r="AE326" s="14"/>
      <c r="AF326" s="14"/>
      <c r="AG326" s="15"/>
    </row>
    <row r="327" spans="1:33">
      <c r="A327" s="8" t="s">
        <v>451</v>
      </c>
      <c r="B327" s="9"/>
      <c r="C327" s="8"/>
      <c r="D327" s="9"/>
      <c r="E327" s="9"/>
      <c r="F327" s="8"/>
      <c r="G327" s="10"/>
      <c r="H327" s="10"/>
      <c r="I327" s="10"/>
      <c r="J327" s="10"/>
      <c r="K327" s="10"/>
      <c r="L327" s="11" t="str">
        <f>IF(COUNTBLANK(G327:K327)=5,"",IF(COUNTIF(G327:K327,"No")&gt;0,"EXCLUDE","INCLUDE"))</f>
        <v/>
      </c>
      <c r="M327" s="11" t="str">
        <f>IF(L327&lt;&gt;"EXCLUDE","",IF(G327="No","Wrong domain (non-AECO)",IF(H327="No","Digital Twin not core / buzzword",IF(I327="No","No Design for Safety/Quality/PtD",IF(J327="No","Wrong publication type",IF(K327="No","Non-English",""))))))</f>
        <v/>
      </c>
      <c r="N327" s="12"/>
      <c r="O327" s="12"/>
      <c r="P327" s="13"/>
      <c r="Q327" s="13"/>
      <c r="R327" s="13"/>
      <c r="S327" s="11" t="str">
        <f>IF(N327&lt;&gt;"Yes","",IF(COUNTBLANK(P327:R327)=3,"",IF(COUNTIF(P327:R327,"No")&gt;0,"EXCLUDE","INCLUDE")))</f>
        <v/>
      </c>
      <c r="T327" s="11" t="str">
        <f>IF(S327&lt;&gt;"EXCLUDE","",IF(P327="No","Digital Twin mentioned only, not the subject",IF(Q327="No","No Design for Safety/Quality in full text",IF(R327="No","Methodology not codable",""))))</f>
        <v/>
      </c>
      <c r="U327" s="14"/>
      <c r="V327" s="14"/>
      <c r="W327" s="14"/>
      <c r="X327" s="14"/>
      <c r="Y327" s="11" t="str">
        <f>IF(SUM(V327:X327)=0,"",IF(SUM(V327:X327)&gt;=2,"Multi","Single"))</f>
        <v/>
      </c>
      <c r="Z327" s="14"/>
      <c r="AA327" s="14"/>
      <c r="AB327" s="14"/>
      <c r="AC327" s="14"/>
      <c r="AD327" s="14"/>
      <c r="AE327" s="14"/>
      <c r="AF327" s="14"/>
      <c r="AG327" s="15"/>
    </row>
    <row r="328" spans="1:33">
      <c r="A328" s="8" t="s">
        <v>452</v>
      </c>
      <c r="B328" s="9"/>
      <c r="C328" s="8"/>
      <c r="D328" s="9"/>
      <c r="E328" s="9"/>
      <c r="F328" s="8"/>
      <c r="G328" s="10"/>
      <c r="H328" s="10"/>
      <c r="I328" s="10"/>
      <c r="J328" s="10"/>
      <c r="K328" s="10"/>
      <c r="L328" s="11" t="str">
        <f>IF(COUNTBLANK(G328:K328)=5,"",IF(COUNTIF(G328:K328,"No")&gt;0,"EXCLUDE","INCLUDE"))</f>
        <v/>
      </c>
      <c r="M328" s="11" t="str">
        <f>IF(L328&lt;&gt;"EXCLUDE","",IF(G328="No","Wrong domain (non-AECO)",IF(H328="No","Digital Twin not core / buzzword",IF(I328="No","No Design for Safety/Quality/PtD",IF(J328="No","Wrong publication type",IF(K328="No","Non-English",""))))))</f>
        <v/>
      </c>
      <c r="N328" s="12"/>
      <c r="O328" s="12"/>
      <c r="P328" s="13"/>
      <c r="Q328" s="13"/>
      <c r="R328" s="13"/>
      <c r="S328" s="11" t="str">
        <f>IF(N328&lt;&gt;"Yes","",IF(COUNTBLANK(P328:R328)=3,"",IF(COUNTIF(P328:R328,"No")&gt;0,"EXCLUDE","INCLUDE")))</f>
        <v/>
      </c>
      <c r="T328" s="11" t="str">
        <f>IF(S328&lt;&gt;"EXCLUDE","",IF(P328="No","Digital Twin mentioned only, not the subject",IF(Q328="No","No Design for Safety/Quality in full text",IF(R328="No","Methodology not codable",""))))</f>
        <v/>
      </c>
      <c r="U328" s="14"/>
      <c r="V328" s="14"/>
      <c r="W328" s="14"/>
      <c r="X328" s="14"/>
      <c r="Y328" s="11" t="str">
        <f>IF(SUM(V328:X328)=0,"",IF(SUM(V328:X328)&gt;=2,"Multi","Single"))</f>
        <v/>
      </c>
      <c r="Z328" s="14"/>
      <c r="AA328" s="14"/>
      <c r="AB328" s="14"/>
      <c r="AC328" s="14"/>
      <c r="AD328" s="14"/>
      <c r="AE328" s="14"/>
      <c r="AF328" s="14"/>
      <c r="AG328" s="15"/>
    </row>
    <row r="329" spans="1:33">
      <c r="A329" s="8" t="s">
        <v>453</v>
      </c>
      <c r="B329" s="9"/>
      <c r="C329" s="8"/>
      <c r="D329" s="9"/>
      <c r="E329" s="9"/>
      <c r="F329" s="8"/>
      <c r="G329" s="10"/>
      <c r="H329" s="10"/>
      <c r="I329" s="10"/>
      <c r="J329" s="10"/>
      <c r="K329" s="10"/>
      <c r="L329" s="11" t="str">
        <f>IF(COUNTBLANK(G329:K329)=5,"",IF(COUNTIF(G329:K329,"No")&gt;0,"EXCLUDE","INCLUDE"))</f>
        <v/>
      </c>
      <c r="M329" s="11" t="str">
        <f>IF(L329&lt;&gt;"EXCLUDE","",IF(G329="No","Wrong domain (non-AECO)",IF(H329="No","Digital Twin not core / buzzword",IF(I329="No","No Design for Safety/Quality/PtD",IF(J329="No","Wrong publication type",IF(K329="No","Non-English",""))))))</f>
        <v/>
      </c>
      <c r="N329" s="12"/>
      <c r="O329" s="12"/>
      <c r="P329" s="13"/>
      <c r="Q329" s="13"/>
      <c r="R329" s="13"/>
      <c r="S329" s="11" t="str">
        <f>IF(N329&lt;&gt;"Yes","",IF(COUNTBLANK(P329:R329)=3,"",IF(COUNTIF(P329:R329,"No")&gt;0,"EXCLUDE","INCLUDE")))</f>
        <v/>
      </c>
      <c r="T329" s="11" t="str">
        <f>IF(S329&lt;&gt;"EXCLUDE","",IF(P329="No","Digital Twin mentioned only, not the subject",IF(Q329="No","No Design for Safety/Quality in full text",IF(R329="No","Methodology not codable",""))))</f>
        <v/>
      </c>
      <c r="U329" s="14"/>
      <c r="V329" s="14"/>
      <c r="W329" s="14"/>
      <c r="X329" s="14"/>
      <c r="Y329" s="11" t="str">
        <f>IF(SUM(V329:X329)=0,"",IF(SUM(V329:X329)&gt;=2,"Multi","Single"))</f>
        <v/>
      </c>
      <c r="Z329" s="14"/>
      <c r="AA329" s="14"/>
      <c r="AB329" s="14"/>
      <c r="AC329" s="14"/>
      <c r="AD329" s="14"/>
      <c r="AE329" s="14"/>
      <c r="AF329" s="14"/>
      <c r="AG329" s="15"/>
    </row>
    <row r="330" spans="1:33">
      <c r="A330" s="8" t="s">
        <v>454</v>
      </c>
      <c r="B330" s="9"/>
      <c r="C330" s="8"/>
      <c r="D330" s="9"/>
      <c r="E330" s="9"/>
      <c r="F330" s="8"/>
      <c r="G330" s="10"/>
      <c r="H330" s="10"/>
      <c r="I330" s="10"/>
      <c r="J330" s="10"/>
      <c r="K330" s="10"/>
      <c r="L330" s="11" t="str">
        <f>IF(COUNTBLANK(G330:K330)=5,"",IF(COUNTIF(G330:K330,"No")&gt;0,"EXCLUDE","INCLUDE"))</f>
        <v/>
      </c>
      <c r="M330" s="11" t="str">
        <f>IF(L330&lt;&gt;"EXCLUDE","",IF(G330="No","Wrong domain (non-AECO)",IF(H330="No","Digital Twin not core / buzzword",IF(I330="No","No Design for Safety/Quality/PtD",IF(J330="No","Wrong publication type",IF(K330="No","Non-English",""))))))</f>
        <v/>
      </c>
      <c r="N330" s="12"/>
      <c r="O330" s="12"/>
      <c r="P330" s="13"/>
      <c r="Q330" s="13"/>
      <c r="R330" s="13"/>
      <c r="S330" s="11" t="str">
        <f>IF(N330&lt;&gt;"Yes","",IF(COUNTBLANK(P330:R330)=3,"",IF(COUNTIF(P330:R330,"No")&gt;0,"EXCLUDE","INCLUDE")))</f>
        <v/>
      </c>
      <c r="T330" s="11" t="str">
        <f>IF(S330&lt;&gt;"EXCLUDE","",IF(P330="No","Digital Twin mentioned only, not the subject",IF(Q330="No","No Design for Safety/Quality in full text",IF(R330="No","Methodology not codable",""))))</f>
        <v/>
      </c>
      <c r="U330" s="14"/>
      <c r="V330" s="14"/>
      <c r="W330" s="14"/>
      <c r="X330" s="14"/>
      <c r="Y330" s="11" t="str">
        <f>IF(SUM(V330:X330)=0,"",IF(SUM(V330:X330)&gt;=2,"Multi","Single"))</f>
        <v/>
      </c>
      <c r="Z330" s="14"/>
      <c r="AA330" s="14"/>
      <c r="AB330" s="14"/>
      <c r="AC330" s="14"/>
      <c r="AD330" s="14"/>
      <c r="AE330" s="14"/>
      <c r="AF330" s="14"/>
      <c r="AG330" s="15"/>
    </row>
    <row r="331" spans="1:33">
      <c r="A331" s="8" t="s">
        <v>455</v>
      </c>
      <c r="B331" s="9"/>
      <c r="C331" s="8"/>
      <c r="D331" s="9"/>
      <c r="E331" s="9"/>
      <c r="F331" s="8"/>
      <c r="G331" s="10"/>
      <c r="H331" s="10"/>
      <c r="I331" s="10"/>
      <c r="J331" s="10"/>
      <c r="K331" s="10"/>
      <c r="L331" s="11" t="str">
        <f>IF(COUNTBLANK(G331:K331)=5,"",IF(COUNTIF(G331:K331,"No")&gt;0,"EXCLUDE","INCLUDE"))</f>
        <v/>
      </c>
      <c r="M331" s="11" t="str">
        <f>IF(L331&lt;&gt;"EXCLUDE","",IF(G331="No","Wrong domain (non-AECO)",IF(H331="No","Digital Twin not core / buzzword",IF(I331="No","No Design for Safety/Quality/PtD",IF(J331="No","Wrong publication type",IF(K331="No","Non-English",""))))))</f>
        <v/>
      </c>
      <c r="N331" s="12"/>
      <c r="O331" s="12"/>
      <c r="P331" s="13"/>
      <c r="Q331" s="13"/>
      <c r="R331" s="13"/>
      <c r="S331" s="11" t="str">
        <f>IF(N331&lt;&gt;"Yes","",IF(COUNTBLANK(P331:R331)=3,"",IF(COUNTIF(P331:R331,"No")&gt;0,"EXCLUDE","INCLUDE")))</f>
        <v/>
      </c>
      <c r="T331" s="11" t="str">
        <f>IF(S331&lt;&gt;"EXCLUDE","",IF(P331="No","Digital Twin mentioned only, not the subject",IF(Q331="No","No Design for Safety/Quality in full text",IF(R331="No","Methodology not codable",""))))</f>
        <v/>
      </c>
      <c r="U331" s="14"/>
      <c r="V331" s="14"/>
      <c r="W331" s="14"/>
      <c r="X331" s="14"/>
      <c r="Y331" s="11" t="str">
        <f>IF(SUM(V331:X331)=0,"",IF(SUM(V331:X331)&gt;=2,"Multi","Single"))</f>
        <v/>
      </c>
      <c r="Z331" s="14"/>
      <c r="AA331" s="14"/>
      <c r="AB331" s="14"/>
      <c r="AC331" s="14"/>
      <c r="AD331" s="14"/>
      <c r="AE331" s="14"/>
      <c r="AF331" s="14"/>
      <c r="AG331" s="15"/>
    </row>
    <row r="332" spans="1:33">
      <c r="A332" s="8" t="s">
        <v>456</v>
      </c>
      <c r="B332" s="9"/>
      <c r="C332" s="8"/>
      <c r="D332" s="9"/>
      <c r="E332" s="9"/>
      <c r="F332" s="8"/>
      <c r="G332" s="10"/>
      <c r="H332" s="10"/>
      <c r="I332" s="10"/>
      <c r="J332" s="10"/>
      <c r="K332" s="10"/>
      <c r="L332" s="11" t="str">
        <f>IF(COUNTBLANK(G332:K332)=5,"",IF(COUNTIF(G332:K332,"No")&gt;0,"EXCLUDE","INCLUDE"))</f>
        <v/>
      </c>
      <c r="M332" s="11" t="str">
        <f>IF(L332&lt;&gt;"EXCLUDE","",IF(G332="No","Wrong domain (non-AECO)",IF(H332="No","Digital Twin not core / buzzword",IF(I332="No","No Design for Safety/Quality/PtD",IF(J332="No","Wrong publication type",IF(K332="No","Non-English",""))))))</f>
        <v/>
      </c>
      <c r="N332" s="12"/>
      <c r="O332" s="12"/>
      <c r="P332" s="13"/>
      <c r="Q332" s="13"/>
      <c r="R332" s="13"/>
      <c r="S332" s="11" t="str">
        <f>IF(N332&lt;&gt;"Yes","",IF(COUNTBLANK(P332:R332)=3,"",IF(COUNTIF(P332:R332,"No")&gt;0,"EXCLUDE","INCLUDE")))</f>
        <v/>
      </c>
      <c r="T332" s="11" t="str">
        <f>IF(S332&lt;&gt;"EXCLUDE","",IF(P332="No","Digital Twin mentioned only, not the subject",IF(Q332="No","No Design for Safety/Quality in full text",IF(R332="No","Methodology not codable",""))))</f>
        <v/>
      </c>
      <c r="U332" s="14"/>
      <c r="V332" s="14"/>
      <c r="W332" s="14"/>
      <c r="X332" s="14"/>
      <c r="Y332" s="11" t="str">
        <f>IF(SUM(V332:X332)=0,"",IF(SUM(V332:X332)&gt;=2,"Multi","Single"))</f>
        <v/>
      </c>
      <c r="Z332" s="14"/>
      <c r="AA332" s="14"/>
      <c r="AB332" s="14"/>
      <c r="AC332" s="14"/>
      <c r="AD332" s="14"/>
      <c r="AE332" s="14"/>
      <c r="AF332" s="14"/>
      <c r="AG332" s="15"/>
    </row>
    <row r="333" spans="1:33">
      <c r="A333" s="8" t="s">
        <v>457</v>
      </c>
      <c r="B333" s="9"/>
      <c r="C333" s="8"/>
      <c r="D333" s="9"/>
      <c r="E333" s="9"/>
      <c r="F333" s="8"/>
      <c r="G333" s="10"/>
      <c r="H333" s="10"/>
      <c r="I333" s="10"/>
      <c r="J333" s="10"/>
      <c r="K333" s="10"/>
      <c r="L333" s="11" t="str">
        <f>IF(COUNTBLANK(G333:K333)=5,"",IF(COUNTIF(G333:K333,"No")&gt;0,"EXCLUDE","INCLUDE"))</f>
        <v/>
      </c>
      <c r="M333" s="11" t="str">
        <f>IF(L333&lt;&gt;"EXCLUDE","",IF(G333="No","Wrong domain (non-AECO)",IF(H333="No","Digital Twin not core / buzzword",IF(I333="No","No Design for Safety/Quality/PtD",IF(J333="No","Wrong publication type",IF(K333="No","Non-English",""))))))</f>
        <v/>
      </c>
      <c r="N333" s="12"/>
      <c r="O333" s="12"/>
      <c r="P333" s="13"/>
      <c r="Q333" s="13"/>
      <c r="R333" s="13"/>
      <c r="S333" s="11" t="str">
        <f>IF(N333&lt;&gt;"Yes","",IF(COUNTBLANK(P333:R333)=3,"",IF(COUNTIF(P333:R333,"No")&gt;0,"EXCLUDE","INCLUDE")))</f>
        <v/>
      </c>
      <c r="T333" s="11" t="str">
        <f>IF(S333&lt;&gt;"EXCLUDE","",IF(P333="No","Digital Twin mentioned only, not the subject",IF(Q333="No","No Design for Safety/Quality in full text",IF(R333="No","Methodology not codable",""))))</f>
        <v/>
      </c>
      <c r="U333" s="14"/>
      <c r="V333" s="14"/>
      <c r="W333" s="14"/>
      <c r="X333" s="14"/>
      <c r="Y333" s="11" t="str">
        <f>IF(SUM(V333:X333)=0,"",IF(SUM(V333:X333)&gt;=2,"Multi","Single"))</f>
        <v/>
      </c>
      <c r="Z333" s="14"/>
      <c r="AA333" s="14"/>
      <c r="AB333" s="14"/>
      <c r="AC333" s="14"/>
      <c r="AD333" s="14"/>
      <c r="AE333" s="14"/>
      <c r="AF333" s="14"/>
      <c r="AG333" s="15"/>
    </row>
    <row r="334" spans="1:33">
      <c r="A334" s="8" t="s">
        <v>458</v>
      </c>
      <c r="B334" s="9"/>
      <c r="C334" s="8"/>
      <c r="D334" s="9"/>
      <c r="E334" s="9"/>
      <c r="F334" s="8"/>
      <c r="G334" s="10"/>
      <c r="H334" s="10"/>
      <c r="I334" s="10"/>
      <c r="J334" s="10"/>
      <c r="K334" s="10"/>
      <c r="L334" s="11" t="str">
        <f>IF(COUNTBLANK(G334:K334)=5,"",IF(COUNTIF(G334:K334,"No")&gt;0,"EXCLUDE","INCLUDE"))</f>
        <v/>
      </c>
      <c r="M334" s="11" t="str">
        <f>IF(L334&lt;&gt;"EXCLUDE","",IF(G334="No","Wrong domain (non-AECO)",IF(H334="No","Digital Twin not core / buzzword",IF(I334="No","No Design for Safety/Quality/PtD",IF(J334="No","Wrong publication type",IF(K334="No","Non-English",""))))))</f>
        <v/>
      </c>
      <c r="N334" s="12"/>
      <c r="O334" s="12"/>
      <c r="P334" s="13"/>
      <c r="Q334" s="13"/>
      <c r="R334" s="13"/>
      <c r="S334" s="11" t="str">
        <f>IF(N334&lt;&gt;"Yes","",IF(COUNTBLANK(P334:R334)=3,"",IF(COUNTIF(P334:R334,"No")&gt;0,"EXCLUDE","INCLUDE")))</f>
        <v/>
      </c>
      <c r="T334" s="11" t="str">
        <f>IF(S334&lt;&gt;"EXCLUDE","",IF(P334="No","Digital Twin mentioned only, not the subject",IF(Q334="No","No Design for Safety/Quality in full text",IF(R334="No","Methodology not codable",""))))</f>
        <v/>
      </c>
      <c r="U334" s="14"/>
      <c r="V334" s="14"/>
      <c r="W334" s="14"/>
      <c r="X334" s="14"/>
      <c r="Y334" s="11" t="str">
        <f>IF(SUM(V334:X334)=0,"",IF(SUM(V334:X334)&gt;=2,"Multi","Single"))</f>
        <v/>
      </c>
      <c r="Z334" s="14"/>
      <c r="AA334" s="14"/>
      <c r="AB334" s="14"/>
      <c r="AC334" s="14"/>
      <c r="AD334" s="14"/>
      <c r="AE334" s="14"/>
      <c r="AF334" s="14"/>
      <c r="AG334" s="15"/>
    </row>
    <row r="335" spans="1:33">
      <c r="A335" s="8" t="s">
        <v>459</v>
      </c>
      <c r="B335" s="9"/>
      <c r="C335" s="8"/>
      <c r="D335" s="9"/>
      <c r="E335" s="9"/>
      <c r="F335" s="8"/>
      <c r="G335" s="10"/>
      <c r="H335" s="10"/>
      <c r="I335" s="10"/>
      <c r="J335" s="10"/>
      <c r="K335" s="10"/>
      <c r="L335" s="11" t="str">
        <f>IF(COUNTBLANK(G335:K335)=5,"",IF(COUNTIF(G335:K335,"No")&gt;0,"EXCLUDE","INCLUDE"))</f>
        <v/>
      </c>
      <c r="M335" s="11" t="str">
        <f>IF(L335&lt;&gt;"EXCLUDE","",IF(G335="No","Wrong domain (non-AECO)",IF(H335="No","Digital Twin not core / buzzword",IF(I335="No","No Design for Safety/Quality/PtD",IF(J335="No","Wrong publication type",IF(K335="No","Non-English",""))))))</f>
        <v/>
      </c>
      <c r="N335" s="12"/>
      <c r="O335" s="12"/>
      <c r="P335" s="13"/>
      <c r="Q335" s="13"/>
      <c r="R335" s="13"/>
      <c r="S335" s="11" t="str">
        <f>IF(N335&lt;&gt;"Yes","",IF(COUNTBLANK(P335:R335)=3,"",IF(COUNTIF(P335:R335,"No")&gt;0,"EXCLUDE","INCLUDE")))</f>
        <v/>
      </c>
      <c r="T335" s="11" t="str">
        <f>IF(S335&lt;&gt;"EXCLUDE","",IF(P335="No","Digital Twin mentioned only, not the subject",IF(Q335="No","No Design for Safety/Quality in full text",IF(R335="No","Methodology not codable",""))))</f>
        <v/>
      </c>
      <c r="U335" s="14"/>
      <c r="V335" s="14"/>
      <c r="W335" s="14"/>
      <c r="X335" s="14"/>
      <c r="Y335" s="11" t="str">
        <f>IF(SUM(V335:X335)=0,"",IF(SUM(V335:X335)&gt;=2,"Multi","Single"))</f>
        <v/>
      </c>
      <c r="Z335" s="14"/>
      <c r="AA335" s="14"/>
      <c r="AB335" s="14"/>
      <c r="AC335" s="14"/>
      <c r="AD335" s="14"/>
      <c r="AE335" s="14"/>
      <c r="AF335" s="14"/>
      <c r="AG335" s="15"/>
    </row>
    <row r="336" spans="1:33">
      <c r="A336" s="8" t="s">
        <v>460</v>
      </c>
      <c r="B336" s="9"/>
      <c r="C336" s="8"/>
      <c r="D336" s="9"/>
      <c r="E336" s="9"/>
      <c r="F336" s="8"/>
      <c r="G336" s="10"/>
      <c r="H336" s="10"/>
      <c r="I336" s="10"/>
      <c r="J336" s="10"/>
      <c r="K336" s="10"/>
      <c r="L336" s="11" t="str">
        <f>IF(COUNTBLANK(G336:K336)=5,"",IF(COUNTIF(G336:K336,"No")&gt;0,"EXCLUDE","INCLUDE"))</f>
        <v/>
      </c>
      <c r="M336" s="11" t="str">
        <f>IF(L336&lt;&gt;"EXCLUDE","",IF(G336="No","Wrong domain (non-AECO)",IF(H336="No","Digital Twin not core / buzzword",IF(I336="No","No Design for Safety/Quality/PtD",IF(J336="No","Wrong publication type",IF(K336="No","Non-English",""))))))</f>
        <v/>
      </c>
      <c r="N336" s="12"/>
      <c r="O336" s="12"/>
      <c r="P336" s="13"/>
      <c r="Q336" s="13"/>
      <c r="R336" s="13"/>
      <c r="S336" s="11" t="str">
        <f>IF(N336&lt;&gt;"Yes","",IF(COUNTBLANK(P336:R336)=3,"",IF(COUNTIF(P336:R336,"No")&gt;0,"EXCLUDE","INCLUDE")))</f>
        <v/>
      </c>
      <c r="T336" s="11" t="str">
        <f>IF(S336&lt;&gt;"EXCLUDE","",IF(P336="No","Digital Twin mentioned only, not the subject",IF(Q336="No","No Design for Safety/Quality in full text",IF(R336="No","Methodology not codable",""))))</f>
        <v/>
      </c>
      <c r="U336" s="14"/>
      <c r="V336" s="14"/>
      <c r="W336" s="14"/>
      <c r="X336" s="14"/>
      <c r="Y336" s="11" t="str">
        <f>IF(SUM(V336:X336)=0,"",IF(SUM(V336:X336)&gt;=2,"Multi","Single"))</f>
        <v/>
      </c>
      <c r="Z336" s="14"/>
      <c r="AA336" s="14"/>
      <c r="AB336" s="14"/>
      <c r="AC336" s="14"/>
      <c r="AD336" s="14"/>
      <c r="AE336" s="14"/>
      <c r="AF336" s="14"/>
      <c r="AG336" s="15"/>
    </row>
    <row r="337" spans="1:33">
      <c r="A337" s="8" t="s">
        <v>461</v>
      </c>
      <c r="B337" s="9"/>
      <c r="C337" s="8"/>
      <c r="D337" s="9"/>
      <c r="E337" s="9"/>
      <c r="F337" s="8"/>
      <c r="G337" s="10"/>
      <c r="H337" s="10"/>
      <c r="I337" s="10"/>
      <c r="J337" s="10"/>
      <c r="K337" s="10"/>
      <c r="L337" s="11" t="str">
        <f>IF(COUNTBLANK(G337:K337)=5,"",IF(COUNTIF(G337:K337,"No")&gt;0,"EXCLUDE","INCLUDE"))</f>
        <v/>
      </c>
      <c r="M337" s="11" t="str">
        <f>IF(L337&lt;&gt;"EXCLUDE","",IF(G337="No","Wrong domain (non-AECO)",IF(H337="No","Digital Twin not core / buzzword",IF(I337="No","No Design for Safety/Quality/PtD",IF(J337="No","Wrong publication type",IF(K337="No","Non-English",""))))))</f>
        <v/>
      </c>
      <c r="N337" s="12"/>
      <c r="O337" s="12"/>
      <c r="P337" s="13"/>
      <c r="Q337" s="13"/>
      <c r="R337" s="13"/>
      <c r="S337" s="11" t="str">
        <f>IF(N337&lt;&gt;"Yes","",IF(COUNTBLANK(P337:R337)=3,"",IF(COUNTIF(P337:R337,"No")&gt;0,"EXCLUDE","INCLUDE")))</f>
        <v/>
      </c>
      <c r="T337" s="11" t="str">
        <f>IF(S337&lt;&gt;"EXCLUDE","",IF(P337="No","Digital Twin mentioned only, not the subject",IF(Q337="No","No Design for Safety/Quality in full text",IF(R337="No","Methodology not codable",""))))</f>
        <v/>
      </c>
      <c r="U337" s="14"/>
      <c r="V337" s="14"/>
      <c r="W337" s="14"/>
      <c r="X337" s="14"/>
      <c r="Y337" s="11" t="str">
        <f>IF(SUM(V337:X337)=0,"",IF(SUM(V337:X337)&gt;=2,"Multi","Single"))</f>
        <v/>
      </c>
      <c r="Z337" s="14"/>
      <c r="AA337" s="14"/>
      <c r="AB337" s="14"/>
      <c r="AC337" s="14"/>
      <c r="AD337" s="14"/>
      <c r="AE337" s="14"/>
      <c r="AF337" s="14"/>
      <c r="AG337" s="15"/>
    </row>
    <row r="338" spans="1:33">
      <c r="A338" s="8" t="s">
        <v>462</v>
      </c>
      <c r="B338" s="9"/>
      <c r="C338" s="8"/>
      <c r="D338" s="9"/>
      <c r="E338" s="9"/>
      <c r="F338" s="8"/>
      <c r="G338" s="10"/>
      <c r="H338" s="10"/>
      <c r="I338" s="10"/>
      <c r="J338" s="10"/>
      <c r="K338" s="10"/>
      <c r="L338" s="11" t="str">
        <f>IF(COUNTBLANK(G338:K338)=5,"",IF(COUNTIF(G338:K338,"No")&gt;0,"EXCLUDE","INCLUDE"))</f>
        <v/>
      </c>
      <c r="M338" s="11" t="str">
        <f>IF(L338&lt;&gt;"EXCLUDE","",IF(G338="No","Wrong domain (non-AECO)",IF(H338="No","Digital Twin not core / buzzword",IF(I338="No","No Design for Safety/Quality/PtD",IF(J338="No","Wrong publication type",IF(K338="No","Non-English",""))))))</f>
        <v/>
      </c>
      <c r="N338" s="12"/>
      <c r="O338" s="12"/>
      <c r="P338" s="13"/>
      <c r="Q338" s="13"/>
      <c r="R338" s="13"/>
      <c r="S338" s="11" t="str">
        <f>IF(N338&lt;&gt;"Yes","",IF(COUNTBLANK(P338:R338)=3,"",IF(COUNTIF(P338:R338,"No")&gt;0,"EXCLUDE","INCLUDE")))</f>
        <v/>
      </c>
      <c r="T338" s="11" t="str">
        <f>IF(S338&lt;&gt;"EXCLUDE","",IF(P338="No","Digital Twin mentioned only, not the subject",IF(Q338="No","No Design for Safety/Quality in full text",IF(R338="No","Methodology not codable",""))))</f>
        <v/>
      </c>
      <c r="U338" s="14"/>
      <c r="V338" s="14"/>
      <c r="W338" s="14"/>
      <c r="X338" s="14"/>
      <c r="Y338" s="11" t="str">
        <f>IF(SUM(V338:X338)=0,"",IF(SUM(V338:X338)&gt;=2,"Multi","Single"))</f>
        <v/>
      </c>
      <c r="Z338" s="14"/>
      <c r="AA338" s="14"/>
      <c r="AB338" s="14"/>
      <c r="AC338" s="14"/>
      <c r="AD338" s="14"/>
      <c r="AE338" s="14"/>
      <c r="AF338" s="14"/>
      <c r="AG338" s="15"/>
    </row>
    <row r="339" spans="1:33">
      <c r="A339" s="8" t="s">
        <v>463</v>
      </c>
      <c r="B339" s="9"/>
      <c r="C339" s="8"/>
      <c r="D339" s="9"/>
      <c r="E339" s="9"/>
      <c r="F339" s="8"/>
      <c r="G339" s="10"/>
      <c r="H339" s="10"/>
      <c r="I339" s="10"/>
      <c r="J339" s="10"/>
      <c r="K339" s="10"/>
      <c r="L339" s="11" t="str">
        <f>IF(COUNTBLANK(G339:K339)=5,"",IF(COUNTIF(G339:K339,"No")&gt;0,"EXCLUDE","INCLUDE"))</f>
        <v/>
      </c>
      <c r="M339" s="11" t="str">
        <f>IF(L339&lt;&gt;"EXCLUDE","",IF(G339="No","Wrong domain (non-AECO)",IF(H339="No","Digital Twin not core / buzzword",IF(I339="No","No Design for Safety/Quality/PtD",IF(J339="No","Wrong publication type",IF(K339="No","Non-English",""))))))</f>
        <v/>
      </c>
      <c r="N339" s="12"/>
      <c r="O339" s="12"/>
      <c r="P339" s="13"/>
      <c r="Q339" s="13"/>
      <c r="R339" s="13"/>
      <c r="S339" s="11" t="str">
        <f>IF(N339&lt;&gt;"Yes","",IF(COUNTBLANK(P339:R339)=3,"",IF(COUNTIF(P339:R339,"No")&gt;0,"EXCLUDE","INCLUDE")))</f>
        <v/>
      </c>
      <c r="T339" s="11" t="str">
        <f>IF(S339&lt;&gt;"EXCLUDE","",IF(P339="No","Digital Twin mentioned only, not the subject",IF(Q339="No","No Design for Safety/Quality in full text",IF(R339="No","Methodology not codable",""))))</f>
        <v/>
      </c>
      <c r="U339" s="14"/>
      <c r="V339" s="14"/>
      <c r="W339" s="14"/>
      <c r="X339" s="14"/>
      <c r="Y339" s="11" t="str">
        <f>IF(SUM(V339:X339)=0,"",IF(SUM(V339:X339)&gt;=2,"Multi","Single"))</f>
        <v/>
      </c>
      <c r="Z339" s="14"/>
      <c r="AA339" s="14"/>
      <c r="AB339" s="14"/>
      <c r="AC339" s="14"/>
      <c r="AD339" s="14"/>
      <c r="AE339" s="14"/>
      <c r="AF339" s="14"/>
      <c r="AG339" s="15"/>
    </row>
    <row r="340" spans="1:33">
      <c r="A340" s="8" t="s">
        <v>464</v>
      </c>
      <c r="B340" s="9"/>
      <c r="C340" s="8"/>
      <c r="D340" s="9"/>
      <c r="E340" s="9"/>
      <c r="F340" s="8"/>
      <c r="G340" s="10"/>
      <c r="H340" s="10"/>
      <c r="I340" s="10"/>
      <c r="J340" s="10"/>
      <c r="K340" s="10"/>
      <c r="L340" s="11" t="str">
        <f>IF(COUNTBLANK(G340:K340)=5,"",IF(COUNTIF(G340:K340,"No")&gt;0,"EXCLUDE","INCLUDE"))</f>
        <v/>
      </c>
      <c r="M340" s="11" t="str">
        <f>IF(L340&lt;&gt;"EXCLUDE","",IF(G340="No","Wrong domain (non-AECO)",IF(H340="No","Digital Twin not core / buzzword",IF(I340="No","No Design for Safety/Quality/PtD",IF(J340="No","Wrong publication type",IF(K340="No","Non-English",""))))))</f>
        <v/>
      </c>
      <c r="N340" s="12"/>
      <c r="O340" s="12"/>
      <c r="P340" s="13"/>
      <c r="Q340" s="13"/>
      <c r="R340" s="13"/>
      <c r="S340" s="11" t="str">
        <f>IF(N340&lt;&gt;"Yes","",IF(COUNTBLANK(P340:R340)=3,"",IF(COUNTIF(P340:R340,"No")&gt;0,"EXCLUDE","INCLUDE")))</f>
        <v/>
      </c>
      <c r="T340" s="11" t="str">
        <f>IF(S340&lt;&gt;"EXCLUDE","",IF(P340="No","Digital Twin mentioned only, not the subject",IF(Q340="No","No Design for Safety/Quality in full text",IF(R340="No","Methodology not codable",""))))</f>
        <v/>
      </c>
      <c r="U340" s="14"/>
      <c r="V340" s="14"/>
      <c r="W340" s="14"/>
      <c r="X340" s="14"/>
      <c r="Y340" s="11" t="str">
        <f>IF(SUM(V340:X340)=0,"",IF(SUM(V340:X340)&gt;=2,"Multi","Single"))</f>
        <v/>
      </c>
      <c r="Z340" s="14"/>
      <c r="AA340" s="14"/>
      <c r="AB340" s="14"/>
      <c r="AC340" s="14"/>
      <c r="AD340" s="14"/>
      <c r="AE340" s="14"/>
      <c r="AF340" s="14"/>
      <c r="AG340" s="15"/>
    </row>
    <row r="341" spans="1:33">
      <c r="A341" s="8" t="s">
        <v>465</v>
      </c>
      <c r="B341" s="9"/>
      <c r="C341" s="8"/>
      <c r="D341" s="9"/>
      <c r="E341" s="9"/>
      <c r="F341" s="8"/>
      <c r="G341" s="10"/>
      <c r="H341" s="10"/>
      <c r="I341" s="10"/>
      <c r="J341" s="10"/>
      <c r="K341" s="10"/>
      <c r="L341" s="11" t="str">
        <f>IF(COUNTBLANK(G341:K341)=5,"",IF(COUNTIF(G341:K341,"No")&gt;0,"EXCLUDE","INCLUDE"))</f>
        <v/>
      </c>
      <c r="M341" s="11" t="str">
        <f>IF(L341&lt;&gt;"EXCLUDE","",IF(G341="No","Wrong domain (non-AECO)",IF(H341="No","Digital Twin not core / buzzword",IF(I341="No","No Design for Safety/Quality/PtD",IF(J341="No","Wrong publication type",IF(K341="No","Non-English",""))))))</f>
        <v/>
      </c>
      <c r="N341" s="12"/>
      <c r="O341" s="12"/>
      <c r="P341" s="13"/>
      <c r="Q341" s="13"/>
      <c r="R341" s="13"/>
      <c r="S341" s="11" t="str">
        <f>IF(N341&lt;&gt;"Yes","",IF(COUNTBLANK(P341:R341)=3,"",IF(COUNTIF(P341:R341,"No")&gt;0,"EXCLUDE","INCLUDE")))</f>
        <v/>
      </c>
      <c r="T341" s="11" t="str">
        <f>IF(S341&lt;&gt;"EXCLUDE","",IF(P341="No","Digital Twin mentioned only, not the subject",IF(Q341="No","No Design for Safety/Quality in full text",IF(R341="No","Methodology not codable",""))))</f>
        <v/>
      </c>
      <c r="U341" s="14"/>
      <c r="V341" s="14"/>
      <c r="W341" s="14"/>
      <c r="X341" s="14"/>
      <c r="Y341" s="11" t="str">
        <f>IF(SUM(V341:X341)=0,"",IF(SUM(V341:X341)&gt;=2,"Multi","Single"))</f>
        <v/>
      </c>
      <c r="Z341" s="14"/>
      <c r="AA341" s="14"/>
      <c r="AB341" s="14"/>
      <c r="AC341" s="14"/>
      <c r="AD341" s="14"/>
      <c r="AE341" s="14"/>
      <c r="AF341" s="14"/>
      <c r="AG341" s="15"/>
    </row>
    <row r="342" spans="1:33">
      <c r="A342" s="8" t="s">
        <v>466</v>
      </c>
      <c r="B342" s="9"/>
      <c r="C342" s="8"/>
      <c r="D342" s="9"/>
      <c r="E342" s="9"/>
      <c r="F342" s="8"/>
      <c r="G342" s="10"/>
      <c r="H342" s="10"/>
      <c r="I342" s="10"/>
      <c r="J342" s="10"/>
      <c r="K342" s="10"/>
      <c r="L342" s="11" t="str">
        <f>IF(COUNTBLANK(G342:K342)=5,"",IF(COUNTIF(G342:K342,"No")&gt;0,"EXCLUDE","INCLUDE"))</f>
        <v/>
      </c>
      <c r="M342" s="11" t="str">
        <f>IF(L342&lt;&gt;"EXCLUDE","",IF(G342="No","Wrong domain (non-AECO)",IF(H342="No","Digital Twin not core / buzzword",IF(I342="No","No Design for Safety/Quality/PtD",IF(J342="No","Wrong publication type",IF(K342="No","Non-English",""))))))</f>
        <v/>
      </c>
      <c r="N342" s="12"/>
      <c r="O342" s="12"/>
      <c r="P342" s="13"/>
      <c r="Q342" s="13"/>
      <c r="R342" s="13"/>
      <c r="S342" s="11" t="str">
        <f>IF(N342&lt;&gt;"Yes","",IF(COUNTBLANK(P342:R342)=3,"",IF(COUNTIF(P342:R342,"No")&gt;0,"EXCLUDE","INCLUDE")))</f>
        <v/>
      </c>
      <c r="T342" s="11" t="str">
        <f>IF(S342&lt;&gt;"EXCLUDE","",IF(P342="No","Digital Twin mentioned only, not the subject",IF(Q342="No","No Design for Safety/Quality in full text",IF(R342="No","Methodology not codable",""))))</f>
        <v/>
      </c>
      <c r="U342" s="14"/>
      <c r="V342" s="14"/>
      <c r="W342" s="14"/>
      <c r="X342" s="14"/>
      <c r="Y342" s="11" t="str">
        <f>IF(SUM(V342:X342)=0,"",IF(SUM(V342:X342)&gt;=2,"Multi","Single"))</f>
        <v/>
      </c>
      <c r="Z342" s="14"/>
      <c r="AA342" s="14"/>
      <c r="AB342" s="14"/>
      <c r="AC342" s="14"/>
      <c r="AD342" s="14"/>
      <c r="AE342" s="14"/>
      <c r="AF342" s="14"/>
      <c r="AG342" s="15"/>
    </row>
    <row r="343" spans="1:33">
      <c r="A343" s="8" t="s">
        <v>467</v>
      </c>
      <c r="B343" s="9"/>
      <c r="C343" s="8"/>
      <c r="D343" s="9"/>
      <c r="E343" s="9"/>
      <c r="F343" s="8"/>
      <c r="G343" s="10"/>
      <c r="H343" s="10"/>
      <c r="I343" s="10"/>
      <c r="J343" s="10"/>
      <c r="K343" s="10"/>
      <c r="L343" s="11" t="str">
        <f>IF(COUNTBLANK(G343:K343)=5,"",IF(COUNTIF(G343:K343,"No")&gt;0,"EXCLUDE","INCLUDE"))</f>
        <v/>
      </c>
      <c r="M343" s="11" t="str">
        <f>IF(L343&lt;&gt;"EXCLUDE","",IF(G343="No","Wrong domain (non-AECO)",IF(H343="No","Digital Twin not core / buzzword",IF(I343="No","No Design for Safety/Quality/PtD",IF(J343="No","Wrong publication type",IF(K343="No","Non-English",""))))))</f>
        <v/>
      </c>
      <c r="N343" s="12"/>
      <c r="O343" s="12"/>
      <c r="P343" s="13"/>
      <c r="Q343" s="13"/>
      <c r="R343" s="13"/>
      <c r="S343" s="11" t="str">
        <f>IF(N343&lt;&gt;"Yes","",IF(COUNTBLANK(P343:R343)=3,"",IF(COUNTIF(P343:R343,"No")&gt;0,"EXCLUDE","INCLUDE")))</f>
        <v/>
      </c>
      <c r="T343" s="11" t="str">
        <f>IF(S343&lt;&gt;"EXCLUDE","",IF(P343="No","Digital Twin mentioned only, not the subject",IF(Q343="No","No Design for Safety/Quality in full text",IF(R343="No","Methodology not codable",""))))</f>
        <v/>
      </c>
      <c r="U343" s="14"/>
      <c r="V343" s="14"/>
      <c r="W343" s="14"/>
      <c r="X343" s="14"/>
      <c r="Y343" s="11" t="str">
        <f>IF(SUM(V343:X343)=0,"",IF(SUM(V343:X343)&gt;=2,"Multi","Single"))</f>
        <v/>
      </c>
      <c r="Z343" s="14"/>
      <c r="AA343" s="14"/>
      <c r="AB343" s="14"/>
      <c r="AC343" s="14"/>
      <c r="AD343" s="14"/>
      <c r="AE343" s="14"/>
      <c r="AF343" s="14"/>
      <c r="AG343" s="15"/>
    </row>
    <row r="344" spans="1:33">
      <c r="A344" s="8" t="s">
        <v>468</v>
      </c>
      <c r="B344" s="9"/>
      <c r="C344" s="8"/>
      <c r="D344" s="9"/>
      <c r="E344" s="9"/>
      <c r="F344" s="8"/>
      <c r="G344" s="10"/>
      <c r="H344" s="10"/>
      <c r="I344" s="10"/>
      <c r="J344" s="10"/>
      <c r="K344" s="10"/>
      <c r="L344" s="11" t="str">
        <f>IF(COUNTBLANK(G344:K344)=5,"",IF(COUNTIF(G344:K344,"No")&gt;0,"EXCLUDE","INCLUDE"))</f>
        <v/>
      </c>
      <c r="M344" s="11" t="str">
        <f>IF(L344&lt;&gt;"EXCLUDE","",IF(G344="No","Wrong domain (non-AECO)",IF(H344="No","Digital Twin not core / buzzword",IF(I344="No","No Design for Safety/Quality/PtD",IF(J344="No","Wrong publication type",IF(K344="No","Non-English",""))))))</f>
        <v/>
      </c>
      <c r="N344" s="12"/>
      <c r="O344" s="12"/>
      <c r="P344" s="13"/>
      <c r="Q344" s="13"/>
      <c r="R344" s="13"/>
      <c r="S344" s="11" t="str">
        <f>IF(N344&lt;&gt;"Yes","",IF(COUNTBLANK(P344:R344)=3,"",IF(COUNTIF(P344:R344,"No")&gt;0,"EXCLUDE","INCLUDE")))</f>
        <v/>
      </c>
      <c r="T344" s="11" t="str">
        <f>IF(S344&lt;&gt;"EXCLUDE","",IF(P344="No","Digital Twin mentioned only, not the subject",IF(Q344="No","No Design for Safety/Quality in full text",IF(R344="No","Methodology not codable",""))))</f>
        <v/>
      </c>
      <c r="U344" s="14"/>
      <c r="V344" s="14"/>
      <c r="W344" s="14"/>
      <c r="X344" s="14"/>
      <c r="Y344" s="11" t="str">
        <f>IF(SUM(V344:X344)=0,"",IF(SUM(V344:X344)&gt;=2,"Multi","Single"))</f>
        <v/>
      </c>
      <c r="Z344" s="14"/>
      <c r="AA344" s="14"/>
      <c r="AB344" s="14"/>
      <c r="AC344" s="14"/>
      <c r="AD344" s="14"/>
      <c r="AE344" s="14"/>
      <c r="AF344" s="14"/>
      <c r="AG344" s="15"/>
    </row>
    <row r="345" spans="1:33">
      <c r="A345" s="8" t="s">
        <v>469</v>
      </c>
      <c r="B345" s="9"/>
      <c r="C345" s="8"/>
      <c r="D345" s="9"/>
      <c r="E345" s="9"/>
      <c r="F345" s="8"/>
      <c r="G345" s="10"/>
      <c r="H345" s="10"/>
      <c r="I345" s="10"/>
      <c r="J345" s="10"/>
      <c r="K345" s="10"/>
      <c r="L345" s="11" t="str">
        <f>IF(COUNTBLANK(G345:K345)=5,"",IF(COUNTIF(G345:K345,"No")&gt;0,"EXCLUDE","INCLUDE"))</f>
        <v/>
      </c>
      <c r="M345" s="11" t="str">
        <f>IF(L345&lt;&gt;"EXCLUDE","",IF(G345="No","Wrong domain (non-AECO)",IF(H345="No","Digital Twin not core / buzzword",IF(I345="No","No Design for Safety/Quality/PtD",IF(J345="No","Wrong publication type",IF(K345="No","Non-English",""))))))</f>
        <v/>
      </c>
      <c r="N345" s="12"/>
      <c r="O345" s="12"/>
      <c r="P345" s="13"/>
      <c r="Q345" s="13"/>
      <c r="R345" s="13"/>
      <c r="S345" s="11" t="str">
        <f>IF(N345&lt;&gt;"Yes","",IF(COUNTBLANK(P345:R345)=3,"",IF(COUNTIF(P345:R345,"No")&gt;0,"EXCLUDE","INCLUDE")))</f>
        <v/>
      </c>
      <c r="T345" s="11" t="str">
        <f>IF(S345&lt;&gt;"EXCLUDE","",IF(P345="No","Digital Twin mentioned only, not the subject",IF(Q345="No","No Design for Safety/Quality in full text",IF(R345="No","Methodology not codable",""))))</f>
        <v/>
      </c>
      <c r="U345" s="14"/>
      <c r="V345" s="14"/>
      <c r="W345" s="14"/>
      <c r="X345" s="14"/>
      <c r="Y345" s="11" t="str">
        <f>IF(SUM(V345:X345)=0,"",IF(SUM(V345:X345)&gt;=2,"Multi","Single"))</f>
        <v/>
      </c>
      <c r="Z345" s="14"/>
      <c r="AA345" s="14"/>
      <c r="AB345" s="14"/>
      <c r="AC345" s="14"/>
      <c r="AD345" s="14"/>
      <c r="AE345" s="14"/>
      <c r="AF345" s="14"/>
      <c r="AG345" s="15"/>
    </row>
    <row r="346" spans="1:33">
      <c r="A346" s="8" t="s">
        <v>470</v>
      </c>
      <c r="B346" s="9"/>
      <c r="C346" s="8"/>
      <c r="D346" s="9"/>
      <c r="E346" s="9"/>
      <c r="F346" s="8"/>
      <c r="G346" s="10"/>
      <c r="H346" s="10"/>
      <c r="I346" s="10"/>
      <c r="J346" s="10"/>
      <c r="K346" s="10"/>
      <c r="L346" s="11" t="str">
        <f>IF(COUNTBLANK(G346:K346)=5,"",IF(COUNTIF(G346:K346,"No")&gt;0,"EXCLUDE","INCLUDE"))</f>
        <v/>
      </c>
      <c r="M346" s="11" t="str">
        <f>IF(L346&lt;&gt;"EXCLUDE","",IF(G346="No","Wrong domain (non-AECO)",IF(H346="No","Digital Twin not core / buzzword",IF(I346="No","No Design for Safety/Quality/PtD",IF(J346="No","Wrong publication type",IF(K346="No","Non-English",""))))))</f>
        <v/>
      </c>
      <c r="N346" s="12"/>
      <c r="O346" s="12"/>
      <c r="P346" s="13"/>
      <c r="Q346" s="13"/>
      <c r="R346" s="13"/>
      <c r="S346" s="11" t="str">
        <f>IF(N346&lt;&gt;"Yes","",IF(COUNTBLANK(P346:R346)=3,"",IF(COUNTIF(P346:R346,"No")&gt;0,"EXCLUDE","INCLUDE")))</f>
        <v/>
      </c>
      <c r="T346" s="11" t="str">
        <f>IF(S346&lt;&gt;"EXCLUDE","",IF(P346="No","Digital Twin mentioned only, not the subject",IF(Q346="No","No Design for Safety/Quality in full text",IF(R346="No","Methodology not codable",""))))</f>
        <v/>
      </c>
      <c r="U346" s="14"/>
      <c r="V346" s="14"/>
      <c r="W346" s="14"/>
      <c r="X346" s="14"/>
      <c r="Y346" s="11" t="str">
        <f>IF(SUM(V346:X346)=0,"",IF(SUM(V346:X346)&gt;=2,"Multi","Single"))</f>
        <v/>
      </c>
      <c r="Z346" s="14"/>
      <c r="AA346" s="14"/>
      <c r="AB346" s="14"/>
      <c r="AC346" s="14"/>
      <c r="AD346" s="14"/>
      <c r="AE346" s="14"/>
      <c r="AF346" s="14"/>
      <c r="AG346" s="15"/>
    </row>
    <row r="347" spans="1:33">
      <c r="A347" s="8" t="s">
        <v>471</v>
      </c>
      <c r="B347" s="9"/>
      <c r="C347" s="8"/>
      <c r="D347" s="9"/>
      <c r="E347" s="9"/>
      <c r="F347" s="8"/>
      <c r="G347" s="10"/>
      <c r="H347" s="10"/>
      <c r="I347" s="10"/>
      <c r="J347" s="10"/>
      <c r="K347" s="10"/>
      <c r="L347" s="11" t="str">
        <f>IF(COUNTBLANK(G347:K347)=5,"",IF(COUNTIF(G347:K347,"No")&gt;0,"EXCLUDE","INCLUDE"))</f>
        <v/>
      </c>
      <c r="M347" s="11" t="str">
        <f>IF(L347&lt;&gt;"EXCLUDE","",IF(G347="No","Wrong domain (non-AECO)",IF(H347="No","Digital Twin not core / buzzword",IF(I347="No","No Design for Safety/Quality/PtD",IF(J347="No","Wrong publication type",IF(K347="No","Non-English",""))))))</f>
        <v/>
      </c>
      <c r="N347" s="12"/>
      <c r="O347" s="12"/>
      <c r="P347" s="13"/>
      <c r="Q347" s="13"/>
      <c r="R347" s="13"/>
      <c r="S347" s="11" t="str">
        <f>IF(N347&lt;&gt;"Yes","",IF(COUNTBLANK(P347:R347)=3,"",IF(COUNTIF(P347:R347,"No")&gt;0,"EXCLUDE","INCLUDE")))</f>
        <v/>
      </c>
      <c r="T347" s="11" t="str">
        <f>IF(S347&lt;&gt;"EXCLUDE","",IF(P347="No","Digital Twin mentioned only, not the subject",IF(Q347="No","No Design for Safety/Quality in full text",IF(R347="No","Methodology not codable",""))))</f>
        <v/>
      </c>
      <c r="U347" s="14"/>
      <c r="V347" s="14"/>
      <c r="W347" s="14"/>
      <c r="X347" s="14"/>
      <c r="Y347" s="11" t="str">
        <f>IF(SUM(V347:X347)=0,"",IF(SUM(V347:X347)&gt;=2,"Multi","Single"))</f>
        <v/>
      </c>
      <c r="Z347" s="14"/>
      <c r="AA347" s="14"/>
      <c r="AB347" s="14"/>
      <c r="AC347" s="14"/>
      <c r="AD347" s="14"/>
      <c r="AE347" s="14"/>
      <c r="AF347" s="14"/>
      <c r="AG347" s="15"/>
    </row>
    <row r="348" spans="1:33">
      <c r="A348" s="8" t="s">
        <v>472</v>
      </c>
      <c r="B348" s="9"/>
      <c r="C348" s="8"/>
      <c r="D348" s="9"/>
      <c r="E348" s="9"/>
      <c r="F348" s="8"/>
      <c r="G348" s="10"/>
      <c r="H348" s="10"/>
      <c r="I348" s="10"/>
      <c r="J348" s="10"/>
      <c r="K348" s="10"/>
      <c r="L348" s="11" t="str">
        <f>IF(COUNTBLANK(G348:K348)=5,"",IF(COUNTIF(G348:K348,"No")&gt;0,"EXCLUDE","INCLUDE"))</f>
        <v/>
      </c>
      <c r="M348" s="11" t="str">
        <f>IF(L348&lt;&gt;"EXCLUDE","",IF(G348="No","Wrong domain (non-AECO)",IF(H348="No","Digital Twin not core / buzzword",IF(I348="No","No Design for Safety/Quality/PtD",IF(J348="No","Wrong publication type",IF(K348="No","Non-English",""))))))</f>
        <v/>
      </c>
      <c r="N348" s="12"/>
      <c r="O348" s="12"/>
      <c r="P348" s="13"/>
      <c r="Q348" s="13"/>
      <c r="R348" s="13"/>
      <c r="S348" s="11" t="str">
        <f>IF(N348&lt;&gt;"Yes","",IF(COUNTBLANK(P348:R348)=3,"",IF(COUNTIF(P348:R348,"No")&gt;0,"EXCLUDE","INCLUDE")))</f>
        <v/>
      </c>
      <c r="T348" s="11" t="str">
        <f>IF(S348&lt;&gt;"EXCLUDE","",IF(P348="No","Digital Twin mentioned only, not the subject",IF(Q348="No","No Design for Safety/Quality in full text",IF(R348="No","Methodology not codable",""))))</f>
        <v/>
      </c>
      <c r="U348" s="14"/>
      <c r="V348" s="14"/>
      <c r="W348" s="14"/>
      <c r="X348" s="14"/>
      <c r="Y348" s="11" t="str">
        <f>IF(SUM(V348:X348)=0,"",IF(SUM(V348:X348)&gt;=2,"Multi","Single"))</f>
        <v/>
      </c>
      <c r="Z348" s="14"/>
      <c r="AA348" s="14"/>
      <c r="AB348" s="14"/>
      <c r="AC348" s="14"/>
      <c r="AD348" s="14"/>
      <c r="AE348" s="14"/>
      <c r="AF348" s="14"/>
      <c r="AG348" s="15"/>
    </row>
    <row r="349" spans="1:33">
      <c r="A349" s="8" t="s">
        <v>473</v>
      </c>
      <c r="B349" s="9"/>
      <c r="C349" s="8"/>
      <c r="D349" s="9"/>
      <c r="E349" s="9"/>
      <c r="F349" s="8"/>
      <c r="G349" s="10"/>
      <c r="H349" s="10"/>
      <c r="I349" s="10"/>
      <c r="J349" s="10"/>
      <c r="K349" s="10"/>
      <c r="L349" s="11" t="str">
        <f>IF(COUNTBLANK(G349:K349)=5,"",IF(COUNTIF(G349:K349,"No")&gt;0,"EXCLUDE","INCLUDE"))</f>
        <v/>
      </c>
      <c r="M349" s="11" t="str">
        <f>IF(L349&lt;&gt;"EXCLUDE","",IF(G349="No","Wrong domain (non-AECO)",IF(H349="No","Digital Twin not core / buzzword",IF(I349="No","No Design for Safety/Quality/PtD",IF(J349="No","Wrong publication type",IF(K349="No","Non-English",""))))))</f>
        <v/>
      </c>
      <c r="N349" s="12"/>
      <c r="O349" s="12"/>
      <c r="P349" s="13"/>
      <c r="Q349" s="13"/>
      <c r="R349" s="13"/>
      <c r="S349" s="11" t="str">
        <f>IF(N349&lt;&gt;"Yes","",IF(COUNTBLANK(P349:R349)=3,"",IF(COUNTIF(P349:R349,"No")&gt;0,"EXCLUDE","INCLUDE")))</f>
        <v/>
      </c>
      <c r="T349" s="11" t="str">
        <f>IF(S349&lt;&gt;"EXCLUDE","",IF(P349="No","Digital Twin mentioned only, not the subject",IF(Q349="No","No Design for Safety/Quality in full text",IF(R349="No","Methodology not codable",""))))</f>
        <v/>
      </c>
      <c r="U349" s="14"/>
      <c r="V349" s="14"/>
      <c r="W349" s="14"/>
      <c r="X349" s="14"/>
      <c r="Y349" s="11" t="str">
        <f>IF(SUM(V349:X349)=0,"",IF(SUM(V349:X349)&gt;=2,"Multi","Single"))</f>
        <v/>
      </c>
      <c r="Z349" s="14"/>
      <c r="AA349" s="14"/>
      <c r="AB349" s="14"/>
      <c r="AC349" s="14"/>
      <c r="AD349" s="14"/>
      <c r="AE349" s="14"/>
      <c r="AF349" s="14"/>
      <c r="AG349" s="15"/>
    </row>
    <row r="350" spans="1:33">
      <c r="A350" s="8" t="s">
        <v>474</v>
      </c>
      <c r="B350" s="9"/>
      <c r="C350" s="8"/>
      <c r="D350" s="9"/>
      <c r="E350" s="9"/>
      <c r="F350" s="8"/>
      <c r="G350" s="10"/>
      <c r="H350" s="10"/>
      <c r="I350" s="10"/>
      <c r="J350" s="10"/>
      <c r="K350" s="10"/>
      <c r="L350" s="11" t="str">
        <f>IF(COUNTBLANK(G350:K350)=5,"",IF(COUNTIF(G350:K350,"No")&gt;0,"EXCLUDE","INCLUDE"))</f>
        <v/>
      </c>
      <c r="M350" s="11" t="str">
        <f>IF(L350&lt;&gt;"EXCLUDE","",IF(G350="No","Wrong domain (non-AECO)",IF(H350="No","Digital Twin not core / buzzword",IF(I350="No","No Design for Safety/Quality/PtD",IF(J350="No","Wrong publication type",IF(K350="No","Non-English",""))))))</f>
        <v/>
      </c>
      <c r="N350" s="12"/>
      <c r="O350" s="12"/>
      <c r="P350" s="13"/>
      <c r="Q350" s="13"/>
      <c r="R350" s="13"/>
      <c r="S350" s="11" t="str">
        <f>IF(N350&lt;&gt;"Yes","",IF(COUNTBLANK(P350:R350)=3,"",IF(COUNTIF(P350:R350,"No")&gt;0,"EXCLUDE","INCLUDE")))</f>
        <v/>
      </c>
      <c r="T350" s="11" t="str">
        <f>IF(S350&lt;&gt;"EXCLUDE","",IF(P350="No","Digital Twin mentioned only, not the subject",IF(Q350="No","No Design for Safety/Quality in full text",IF(R350="No","Methodology not codable",""))))</f>
        <v/>
      </c>
      <c r="U350" s="14"/>
      <c r="V350" s="14"/>
      <c r="W350" s="14"/>
      <c r="X350" s="14"/>
      <c r="Y350" s="11" t="str">
        <f>IF(SUM(V350:X350)=0,"",IF(SUM(V350:X350)&gt;=2,"Multi","Single"))</f>
        <v/>
      </c>
      <c r="Z350" s="14"/>
      <c r="AA350" s="14"/>
      <c r="AB350" s="14"/>
      <c r="AC350" s="14"/>
      <c r="AD350" s="14"/>
      <c r="AE350" s="14"/>
      <c r="AF350" s="14"/>
      <c r="AG350" s="15"/>
    </row>
    <row r="351" spans="1:33">
      <c r="A351" s="8" t="s">
        <v>475</v>
      </c>
      <c r="B351" s="9"/>
      <c r="C351" s="8"/>
      <c r="D351" s="9"/>
      <c r="E351" s="9"/>
      <c r="F351" s="8"/>
      <c r="G351" s="10"/>
      <c r="H351" s="10"/>
      <c r="I351" s="10"/>
      <c r="J351" s="10"/>
      <c r="K351" s="10"/>
      <c r="L351" s="11" t="str">
        <f>IF(COUNTBLANK(G351:K351)=5,"",IF(COUNTIF(G351:K351,"No")&gt;0,"EXCLUDE","INCLUDE"))</f>
        <v/>
      </c>
      <c r="M351" s="11" t="str">
        <f>IF(L351&lt;&gt;"EXCLUDE","",IF(G351="No","Wrong domain (non-AECO)",IF(H351="No","Digital Twin not core / buzzword",IF(I351="No","No Design for Safety/Quality/PtD",IF(J351="No","Wrong publication type",IF(K351="No","Non-English",""))))))</f>
        <v/>
      </c>
      <c r="N351" s="12"/>
      <c r="O351" s="12"/>
      <c r="P351" s="13"/>
      <c r="Q351" s="13"/>
      <c r="R351" s="13"/>
      <c r="S351" s="11" t="str">
        <f>IF(N351&lt;&gt;"Yes","",IF(COUNTBLANK(P351:R351)=3,"",IF(COUNTIF(P351:R351,"No")&gt;0,"EXCLUDE","INCLUDE")))</f>
        <v/>
      </c>
      <c r="T351" s="11" t="str">
        <f>IF(S351&lt;&gt;"EXCLUDE","",IF(P351="No","Digital Twin mentioned only, not the subject",IF(Q351="No","No Design for Safety/Quality in full text",IF(R351="No","Methodology not codable",""))))</f>
        <v/>
      </c>
      <c r="U351" s="14"/>
      <c r="V351" s="14"/>
      <c r="W351" s="14"/>
      <c r="X351" s="14"/>
      <c r="Y351" s="11" t="str">
        <f>IF(SUM(V351:X351)=0,"",IF(SUM(V351:X351)&gt;=2,"Multi","Single"))</f>
        <v/>
      </c>
      <c r="Z351" s="14"/>
      <c r="AA351" s="14"/>
      <c r="AB351" s="14"/>
      <c r="AC351" s="14"/>
      <c r="AD351" s="14"/>
      <c r="AE351" s="14"/>
      <c r="AF351" s="14"/>
      <c r="AG351" s="15"/>
    </row>
    <row r="352" spans="1:33">
      <c r="A352" s="8" t="s">
        <v>476</v>
      </c>
      <c r="B352" s="9"/>
      <c r="C352" s="8"/>
      <c r="D352" s="9"/>
      <c r="E352" s="9"/>
      <c r="F352" s="8"/>
      <c r="G352" s="10"/>
      <c r="H352" s="10"/>
      <c r="I352" s="10"/>
      <c r="J352" s="10"/>
      <c r="K352" s="10"/>
      <c r="L352" s="11" t="str">
        <f>IF(COUNTBLANK(G352:K352)=5,"",IF(COUNTIF(G352:K352,"No")&gt;0,"EXCLUDE","INCLUDE"))</f>
        <v/>
      </c>
      <c r="M352" s="11" t="str">
        <f>IF(L352&lt;&gt;"EXCLUDE","",IF(G352="No","Wrong domain (non-AECO)",IF(H352="No","Digital Twin not core / buzzword",IF(I352="No","No Design for Safety/Quality/PtD",IF(J352="No","Wrong publication type",IF(K352="No","Non-English",""))))))</f>
        <v/>
      </c>
      <c r="N352" s="12"/>
      <c r="O352" s="12"/>
      <c r="P352" s="13"/>
      <c r="Q352" s="13"/>
      <c r="R352" s="13"/>
      <c r="S352" s="11" t="str">
        <f>IF(N352&lt;&gt;"Yes","",IF(COUNTBLANK(P352:R352)=3,"",IF(COUNTIF(P352:R352,"No")&gt;0,"EXCLUDE","INCLUDE")))</f>
        <v/>
      </c>
      <c r="T352" s="11" t="str">
        <f>IF(S352&lt;&gt;"EXCLUDE","",IF(P352="No","Digital Twin mentioned only, not the subject",IF(Q352="No","No Design for Safety/Quality in full text",IF(R352="No","Methodology not codable",""))))</f>
        <v/>
      </c>
      <c r="U352" s="14"/>
      <c r="V352" s="14"/>
      <c r="W352" s="14"/>
      <c r="X352" s="14"/>
      <c r="Y352" s="11" t="str">
        <f>IF(SUM(V352:X352)=0,"",IF(SUM(V352:X352)&gt;=2,"Multi","Single"))</f>
        <v/>
      </c>
      <c r="Z352" s="14"/>
      <c r="AA352" s="14"/>
      <c r="AB352" s="14"/>
      <c r="AC352" s="14"/>
      <c r="AD352" s="14"/>
      <c r="AE352" s="14"/>
      <c r="AF352" s="14"/>
      <c r="AG352" s="15"/>
    </row>
    <row r="353" spans="1:33">
      <c r="A353" s="8" t="s">
        <v>477</v>
      </c>
      <c r="B353" s="9"/>
      <c r="C353" s="8"/>
      <c r="D353" s="9"/>
      <c r="E353" s="9"/>
      <c r="F353" s="8"/>
      <c r="G353" s="10"/>
      <c r="H353" s="10"/>
      <c r="I353" s="10"/>
      <c r="J353" s="10"/>
      <c r="K353" s="10"/>
      <c r="L353" s="11" t="str">
        <f>IF(COUNTBLANK(G353:K353)=5,"",IF(COUNTIF(G353:K353,"No")&gt;0,"EXCLUDE","INCLUDE"))</f>
        <v/>
      </c>
      <c r="M353" s="11" t="str">
        <f>IF(L353&lt;&gt;"EXCLUDE","",IF(G353="No","Wrong domain (non-AECO)",IF(H353="No","Digital Twin not core / buzzword",IF(I353="No","No Design for Safety/Quality/PtD",IF(J353="No","Wrong publication type",IF(K353="No","Non-English",""))))))</f>
        <v/>
      </c>
      <c r="N353" s="12"/>
      <c r="O353" s="12"/>
      <c r="P353" s="13"/>
      <c r="Q353" s="13"/>
      <c r="R353" s="13"/>
      <c r="S353" s="11" t="str">
        <f>IF(N353&lt;&gt;"Yes","",IF(COUNTBLANK(P353:R353)=3,"",IF(COUNTIF(P353:R353,"No")&gt;0,"EXCLUDE","INCLUDE")))</f>
        <v/>
      </c>
      <c r="T353" s="11" t="str">
        <f>IF(S353&lt;&gt;"EXCLUDE","",IF(P353="No","Digital Twin mentioned only, not the subject",IF(Q353="No","No Design for Safety/Quality in full text",IF(R353="No","Methodology not codable",""))))</f>
        <v/>
      </c>
      <c r="U353" s="14"/>
      <c r="V353" s="14"/>
      <c r="W353" s="14"/>
      <c r="X353" s="14"/>
      <c r="Y353" s="11" t="str">
        <f>IF(SUM(V353:X353)=0,"",IF(SUM(V353:X353)&gt;=2,"Multi","Single"))</f>
        <v/>
      </c>
      <c r="Z353" s="14"/>
      <c r="AA353" s="14"/>
      <c r="AB353" s="14"/>
      <c r="AC353" s="14"/>
      <c r="AD353" s="14"/>
      <c r="AE353" s="14"/>
      <c r="AF353" s="14"/>
      <c r="AG353" s="15"/>
    </row>
    <row r="354" spans="1:33">
      <c r="A354" s="8" t="s">
        <v>478</v>
      </c>
      <c r="B354" s="9"/>
      <c r="C354" s="8"/>
      <c r="D354" s="9"/>
      <c r="E354" s="9"/>
      <c r="F354" s="8"/>
      <c r="G354" s="10"/>
      <c r="H354" s="10"/>
      <c r="I354" s="10"/>
      <c r="J354" s="10"/>
      <c r="K354" s="10"/>
      <c r="L354" s="11" t="str">
        <f>IF(COUNTBLANK(G354:K354)=5,"",IF(COUNTIF(G354:K354,"No")&gt;0,"EXCLUDE","INCLUDE"))</f>
        <v/>
      </c>
      <c r="M354" s="11" t="str">
        <f>IF(L354&lt;&gt;"EXCLUDE","",IF(G354="No","Wrong domain (non-AECO)",IF(H354="No","Digital Twin not core / buzzword",IF(I354="No","No Design for Safety/Quality/PtD",IF(J354="No","Wrong publication type",IF(K354="No","Non-English",""))))))</f>
        <v/>
      </c>
      <c r="N354" s="12"/>
      <c r="O354" s="12"/>
      <c r="P354" s="13"/>
      <c r="Q354" s="13"/>
      <c r="R354" s="13"/>
      <c r="S354" s="11" t="str">
        <f>IF(N354&lt;&gt;"Yes","",IF(COUNTBLANK(P354:R354)=3,"",IF(COUNTIF(P354:R354,"No")&gt;0,"EXCLUDE","INCLUDE")))</f>
        <v/>
      </c>
      <c r="T354" s="11" t="str">
        <f>IF(S354&lt;&gt;"EXCLUDE","",IF(P354="No","Digital Twin mentioned only, not the subject",IF(Q354="No","No Design for Safety/Quality in full text",IF(R354="No","Methodology not codable",""))))</f>
        <v/>
      </c>
      <c r="U354" s="14"/>
      <c r="V354" s="14"/>
      <c r="W354" s="14"/>
      <c r="X354" s="14"/>
      <c r="Y354" s="11" t="str">
        <f>IF(SUM(V354:X354)=0,"",IF(SUM(V354:X354)&gt;=2,"Multi","Single"))</f>
        <v/>
      </c>
      <c r="Z354" s="14"/>
      <c r="AA354" s="14"/>
      <c r="AB354" s="14"/>
      <c r="AC354" s="14"/>
      <c r="AD354" s="14"/>
      <c r="AE354" s="14"/>
      <c r="AF354" s="14"/>
      <c r="AG354" s="15"/>
    </row>
    <row r="355" spans="1:33">
      <c r="A355" s="8" t="s">
        <v>479</v>
      </c>
      <c r="B355" s="9"/>
      <c r="C355" s="8"/>
      <c r="D355" s="9"/>
      <c r="E355" s="9"/>
      <c r="F355" s="8"/>
      <c r="G355" s="10"/>
      <c r="H355" s="10"/>
      <c r="I355" s="10"/>
      <c r="J355" s="10"/>
      <c r="K355" s="10"/>
      <c r="L355" s="11" t="str">
        <f>IF(COUNTBLANK(G355:K355)=5,"",IF(COUNTIF(G355:K355,"No")&gt;0,"EXCLUDE","INCLUDE"))</f>
        <v/>
      </c>
      <c r="M355" s="11" t="str">
        <f>IF(L355&lt;&gt;"EXCLUDE","",IF(G355="No","Wrong domain (non-AECO)",IF(H355="No","Digital Twin not core / buzzword",IF(I355="No","No Design for Safety/Quality/PtD",IF(J355="No","Wrong publication type",IF(K355="No","Non-English",""))))))</f>
        <v/>
      </c>
      <c r="N355" s="12"/>
      <c r="O355" s="12"/>
      <c r="P355" s="13"/>
      <c r="Q355" s="13"/>
      <c r="R355" s="13"/>
      <c r="S355" s="11" t="str">
        <f>IF(N355&lt;&gt;"Yes","",IF(COUNTBLANK(P355:R355)=3,"",IF(COUNTIF(P355:R355,"No")&gt;0,"EXCLUDE","INCLUDE")))</f>
        <v/>
      </c>
      <c r="T355" s="11" t="str">
        <f>IF(S355&lt;&gt;"EXCLUDE","",IF(P355="No","Digital Twin mentioned only, not the subject",IF(Q355="No","No Design for Safety/Quality in full text",IF(R355="No","Methodology not codable",""))))</f>
        <v/>
      </c>
      <c r="U355" s="14"/>
      <c r="V355" s="14"/>
      <c r="W355" s="14"/>
      <c r="X355" s="14"/>
      <c r="Y355" s="11" t="str">
        <f>IF(SUM(V355:X355)=0,"",IF(SUM(V355:X355)&gt;=2,"Multi","Single"))</f>
        <v/>
      </c>
      <c r="Z355" s="14"/>
      <c r="AA355" s="14"/>
      <c r="AB355" s="14"/>
      <c r="AC355" s="14"/>
      <c r="AD355" s="14"/>
      <c r="AE355" s="14"/>
      <c r="AF355" s="14"/>
      <c r="AG355" s="15"/>
    </row>
    <row r="356" spans="1:33">
      <c r="A356" s="8" t="s">
        <v>480</v>
      </c>
      <c r="B356" s="9"/>
      <c r="C356" s="8"/>
      <c r="D356" s="9"/>
      <c r="E356" s="9"/>
      <c r="F356" s="8"/>
      <c r="G356" s="10"/>
      <c r="H356" s="10"/>
      <c r="I356" s="10"/>
      <c r="J356" s="10"/>
      <c r="K356" s="10"/>
      <c r="L356" s="11" t="str">
        <f>IF(COUNTBLANK(G356:K356)=5,"",IF(COUNTIF(G356:K356,"No")&gt;0,"EXCLUDE","INCLUDE"))</f>
        <v/>
      </c>
      <c r="M356" s="11" t="str">
        <f>IF(L356&lt;&gt;"EXCLUDE","",IF(G356="No","Wrong domain (non-AECO)",IF(H356="No","Digital Twin not core / buzzword",IF(I356="No","No Design for Safety/Quality/PtD",IF(J356="No","Wrong publication type",IF(K356="No","Non-English",""))))))</f>
        <v/>
      </c>
      <c r="N356" s="12"/>
      <c r="O356" s="12"/>
      <c r="P356" s="13"/>
      <c r="Q356" s="13"/>
      <c r="R356" s="13"/>
      <c r="S356" s="11" t="str">
        <f>IF(N356&lt;&gt;"Yes","",IF(COUNTBLANK(P356:R356)=3,"",IF(COUNTIF(P356:R356,"No")&gt;0,"EXCLUDE","INCLUDE")))</f>
        <v/>
      </c>
      <c r="T356" s="11" t="str">
        <f>IF(S356&lt;&gt;"EXCLUDE","",IF(P356="No","Digital Twin mentioned only, not the subject",IF(Q356="No","No Design for Safety/Quality in full text",IF(R356="No","Methodology not codable",""))))</f>
        <v/>
      </c>
      <c r="U356" s="14"/>
      <c r="V356" s="14"/>
      <c r="W356" s="14"/>
      <c r="X356" s="14"/>
      <c r="Y356" s="11" t="str">
        <f>IF(SUM(V356:X356)=0,"",IF(SUM(V356:X356)&gt;=2,"Multi","Single"))</f>
        <v/>
      </c>
      <c r="Z356" s="14"/>
      <c r="AA356" s="14"/>
      <c r="AB356" s="14"/>
      <c r="AC356" s="14"/>
      <c r="AD356" s="14"/>
      <c r="AE356" s="14"/>
      <c r="AF356" s="14"/>
      <c r="AG356" s="15"/>
    </row>
    <row r="357" spans="1:33">
      <c r="A357" s="8" t="s">
        <v>481</v>
      </c>
      <c r="B357" s="9"/>
      <c r="C357" s="8"/>
      <c r="D357" s="9"/>
      <c r="E357" s="9"/>
      <c r="F357" s="8"/>
      <c r="G357" s="10"/>
      <c r="H357" s="10"/>
      <c r="I357" s="10"/>
      <c r="J357" s="10"/>
      <c r="K357" s="10"/>
      <c r="L357" s="11" t="str">
        <f>IF(COUNTBLANK(G357:K357)=5,"",IF(COUNTIF(G357:K357,"No")&gt;0,"EXCLUDE","INCLUDE"))</f>
        <v/>
      </c>
      <c r="M357" s="11" t="str">
        <f>IF(L357&lt;&gt;"EXCLUDE","",IF(G357="No","Wrong domain (non-AECO)",IF(H357="No","Digital Twin not core / buzzword",IF(I357="No","No Design for Safety/Quality/PtD",IF(J357="No","Wrong publication type",IF(K357="No","Non-English",""))))))</f>
        <v/>
      </c>
      <c r="N357" s="12"/>
      <c r="O357" s="12"/>
      <c r="P357" s="13"/>
      <c r="Q357" s="13"/>
      <c r="R357" s="13"/>
      <c r="S357" s="11" t="str">
        <f>IF(N357&lt;&gt;"Yes","",IF(COUNTBLANK(P357:R357)=3,"",IF(COUNTIF(P357:R357,"No")&gt;0,"EXCLUDE","INCLUDE")))</f>
        <v/>
      </c>
      <c r="T357" s="11" t="str">
        <f>IF(S357&lt;&gt;"EXCLUDE","",IF(P357="No","Digital Twin mentioned only, not the subject",IF(Q357="No","No Design for Safety/Quality in full text",IF(R357="No","Methodology not codable",""))))</f>
        <v/>
      </c>
      <c r="U357" s="14"/>
      <c r="V357" s="14"/>
      <c r="W357" s="14"/>
      <c r="X357" s="14"/>
      <c r="Y357" s="11" t="str">
        <f>IF(SUM(V357:X357)=0,"",IF(SUM(V357:X357)&gt;=2,"Multi","Single"))</f>
        <v/>
      </c>
      <c r="Z357" s="14"/>
      <c r="AA357" s="14"/>
      <c r="AB357" s="14"/>
      <c r="AC357" s="14"/>
      <c r="AD357" s="14"/>
      <c r="AE357" s="14"/>
      <c r="AF357" s="14"/>
      <c r="AG357" s="15"/>
    </row>
    <row r="358" spans="1:33">
      <c r="A358" s="8" t="s">
        <v>482</v>
      </c>
      <c r="B358" s="9"/>
      <c r="C358" s="8"/>
      <c r="D358" s="9"/>
      <c r="E358" s="9"/>
      <c r="F358" s="8"/>
      <c r="G358" s="10"/>
      <c r="H358" s="10"/>
      <c r="I358" s="10"/>
      <c r="J358" s="10"/>
      <c r="K358" s="10"/>
      <c r="L358" s="11" t="str">
        <f>IF(COUNTBLANK(G358:K358)=5,"",IF(COUNTIF(G358:K358,"No")&gt;0,"EXCLUDE","INCLUDE"))</f>
        <v/>
      </c>
      <c r="M358" s="11" t="str">
        <f>IF(L358&lt;&gt;"EXCLUDE","",IF(G358="No","Wrong domain (non-AECO)",IF(H358="No","Digital Twin not core / buzzword",IF(I358="No","No Design for Safety/Quality/PtD",IF(J358="No","Wrong publication type",IF(K358="No","Non-English",""))))))</f>
        <v/>
      </c>
      <c r="N358" s="12"/>
      <c r="O358" s="12"/>
      <c r="P358" s="13"/>
      <c r="Q358" s="13"/>
      <c r="R358" s="13"/>
      <c r="S358" s="11" t="str">
        <f>IF(N358&lt;&gt;"Yes","",IF(COUNTBLANK(P358:R358)=3,"",IF(COUNTIF(P358:R358,"No")&gt;0,"EXCLUDE","INCLUDE")))</f>
        <v/>
      </c>
      <c r="T358" s="11" t="str">
        <f>IF(S358&lt;&gt;"EXCLUDE","",IF(P358="No","Digital Twin mentioned only, not the subject",IF(Q358="No","No Design for Safety/Quality in full text",IF(R358="No","Methodology not codable",""))))</f>
        <v/>
      </c>
      <c r="U358" s="14"/>
      <c r="V358" s="14"/>
      <c r="W358" s="14"/>
      <c r="X358" s="14"/>
      <c r="Y358" s="11" t="str">
        <f>IF(SUM(V358:X358)=0,"",IF(SUM(V358:X358)&gt;=2,"Multi","Single"))</f>
        <v/>
      </c>
      <c r="Z358" s="14"/>
      <c r="AA358" s="14"/>
      <c r="AB358" s="14"/>
      <c r="AC358" s="14"/>
      <c r="AD358" s="14"/>
      <c r="AE358" s="14"/>
      <c r="AF358" s="14"/>
      <c r="AG358" s="15"/>
    </row>
    <row r="359" spans="1:33">
      <c r="A359" s="8" t="s">
        <v>483</v>
      </c>
      <c r="B359" s="9"/>
      <c r="C359" s="8"/>
      <c r="D359" s="9"/>
      <c r="E359" s="9"/>
      <c r="F359" s="8"/>
      <c r="G359" s="10"/>
      <c r="H359" s="10"/>
      <c r="I359" s="10"/>
      <c r="J359" s="10"/>
      <c r="K359" s="10"/>
      <c r="L359" s="11" t="str">
        <f>IF(COUNTBLANK(G359:K359)=5,"",IF(COUNTIF(G359:K359,"No")&gt;0,"EXCLUDE","INCLUDE"))</f>
        <v/>
      </c>
      <c r="M359" s="11" t="str">
        <f>IF(L359&lt;&gt;"EXCLUDE","",IF(G359="No","Wrong domain (non-AECO)",IF(H359="No","Digital Twin not core / buzzword",IF(I359="No","No Design for Safety/Quality/PtD",IF(J359="No","Wrong publication type",IF(K359="No","Non-English",""))))))</f>
        <v/>
      </c>
      <c r="N359" s="12"/>
      <c r="O359" s="12"/>
      <c r="P359" s="13"/>
      <c r="Q359" s="13"/>
      <c r="R359" s="13"/>
      <c r="S359" s="11" t="str">
        <f>IF(N359&lt;&gt;"Yes","",IF(COUNTBLANK(P359:R359)=3,"",IF(COUNTIF(P359:R359,"No")&gt;0,"EXCLUDE","INCLUDE")))</f>
        <v/>
      </c>
      <c r="T359" s="11" t="str">
        <f>IF(S359&lt;&gt;"EXCLUDE","",IF(P359="No","Digital Twin mentioned only, not the subject",IF(Q359="No","No Design for Safety/Quality in full text",IF(R359="No","Methodology not codable",""))))</f>
        <v/>
      </c>
      <c r="U359" s="14"/>
      <c r="V359" s="14"/>
      <c r="W359" s="14"/>
      <c r="X359" s="14"/>
      <c r="Y359" s="11" t="str">
        <f>IF(SUM(V359:X359)=0,"",IF(SUM(V359:X359)&gt;=2,"Multi","Single"))</f>
        <v/>
      </c>
      <c r="Z359" s="14"/>
      <c r="AA359" s="14"/>
      <c r="AB359" s="14"/>
      <c r="AC359" s="14"/>
      <c r="AD359" s="14"/>
      <c r="AE359" s="14"/>
      <c r="AF359" s="14"/>
      <c r="AG359" s="15"/>
    </row>
    <row r="360" spans="1:33">
      <c r="A360" s="8" t="s">
        <v>484</v>
      </c>
      <c r="B360" s="9"/>
      <c r="C360" s="8"/>
      <c r="D360" s="9"/>
      <c r="E360" s="9"/>
      <c r="F360" s="8"/>
      <c r="G360" s="10"/>
      <c r="H360" s="10"/>
      <c r="I360" s="10"/>
      <c r="J360" s="10"/>
      <c r="K360" s="10"/>
      <c r="L360" s="11" t="str">
        <f>IF(COUNTBLANK(G360:K360)=5,"",IF(COUNTIF(G360:K360,"No")&gt;0,"EXCLUDE","INCLUDE"))</f>
        <v/>
      </c>
      <c r="M360" s="11" t="str">
        <f>IF(L360&lt;&gt;"EXCLUDE","",IF(G360="No","Wrong domain (non-AECO)",IF(H360="No","Digital Twin not core / buzzword",IF(I360="No","No Design for Safety/Quality/PtD",IF(J360="No","Wrong publication type",IF(K360="No","Non-English",""))))))</f>
        <v/>
      </c>
      <c r="N360" s="12"/>
      <c r="O360" s="12"/>
      <c r="P360" s="13"/>
      <c r="Q360" s="13"/>
      <c r="R360" s="13"/>
      <c r="S360" s="11" t="str">
        <f>IF(N360&lt;&gt;"Yes","",IF(COUNTBLANK(P360:R360)=3,"",IF(COUNTIF(P360:R360,"No")&gt;0,"EXCLUDE","INCLUDE")))</f>
        <v/>
      </c>
      <c r="T360" s="11" t="str">
        <f>IF(S360&lt;&gt;"EXCLUDE","",IF(P360="No","Digital Twin mentioned only, not the subject",IF(Q360="No","No Design for Safety/Quality in full text",IF(R360="No","Methodology not codable",""))))</f>
        <v/>
      </c>
      <c r="U360" s="14"/>
      <c r="V360" s="14"/>
      <c r="W360" s="14"/>
      <c r="X360" s="14"/>
      <c r="Y360" s="11" t="str">
        <f>IF(SUM(V360:X360)=0,"",IF(SUM(V360:X360)&gt;=2,"Multi","Single"))</f>
        <v/>
      </c>
      <c r="Z360" s="14"/>
      <c r="AA360" s="14"/>
      <c r="AB360" s="14"/>
      <c r="AC360" s="14"/>
      <c r="AD360" s="14"/>
      <c r="AE360" s="14"/>
      <c r="AF360" s="14"/>
      <c r="AG360" s="15"/>
    </row>
    <row r="361" spans="1:33">
      <c r="A361" s="8" t="s">
        <v>485</v>
      </c>
      <c r="B361" s="9"/>
      <c r="C361" s="8"/>
      <c r="D361" s="9"/>
      <c r="E361" s="9"/>
      <c r="F361" s="8"/>
      <c r="G361" s="10"/>
      <c r="H361" s="10"/>
      <c r="I361" s="10"/>
      <c r="J361" s="10"/>
      <c r="K361" s="10"/>
      <c r="L361" s="11" t="str">
        <f>IF(COUNTBLANK(G361:K361)=5,"",IF(COUNTIF(G361:K361,"No")&gt;0,"EXCLUDE","INCLUDE"))</f>
        <v/>
      </c>
      <c r="M361" s="11" t="str">
        <f>IF(L361&lt;&gt;"EXCLUDE","",IF(G361="No","Wrong domain (non-AECO)",IF(H361="No","Digital Twin not core / buzzword",IF(I361="No","No Design for Safety/Quality/PtD",IF(J361="No","Wrong publication type",IF(K361="No","Non-English",""))))))</f>
        <v/>
      </c>
      <c r="N361" s="12"/>
      <c r="O361" s="12"/>
      <c r="P361" s="13"/>
      <c r="Q361" s="13"/>
      <c r="R361" s="13"/>
      <c r="S361" s="11" t="str">
        <f>IF(N361&lt;&gt;"Yes","",IF(COUNTBLANK(P361:R361)=3,"",IF(COUNTIF(P361:R361,"No")&gt;0,"EXCLUDE","INCLUDE")))</f>
        <v/>
      </c>
      <c r="T361" s="11" t="str">
        <f>IF(S361&lt;&gt;"EXCLUDE","",IF(P361="No","Digital Twin mentioned only, not the subject",IF(Q361="No","No Design for Safety/Quality in full text",IF(R361="No","Methodology not codable",""))))</f>
        <v/>
      </c>
      <c r="U361" s="14"/>
      <c r="V361" s="14"/>
      <c r="W361" s="14"/>
      <c r="X361" s="14"/>
      <c r="Y361" s="11" t="str">
        <f>IF(SUM(V361:X361)=0,"",IF(SUM(V361:X361)&gt;=2,"Multi","Single"))</f>
        <v/>
      </c>
      <c r="Z361" s="14"/>
      <c r="AA361" s="14"/>
      <c r="AB361" s="14"/>
      <c r="AC361" s="14"/>
      <c r="AD361" s="14"/>
      <c r="AE361" s="14"/>
      <c r="AF361" s="14"/>
      <c r="AG361" s="15"/>
    </row>
    <row r="362" spans="1:33">
      <c r="A362" s="8" t="s">
        <v>486</v>
      </c>
      <c r="B362" s="9"/>
      <c r="C362" s="8"/>
      <c r="D362" s="9"/>
      <c r="E362" s="9"/>
      <c r="F362" s="8"/>
      <c r="G362" s="10"/>
      <c r="H362" s="10"/>
      <c r="I362" s="10"/>
      <c r="J362" s="10"/>
      <c r="K362" s="10"/>
      <c r="L362" s="11" t="str">
        <f>IF(COUNTBLANK(G362:K362)=5,"",IF(COUNTIF(G362:K362,"No")&gt;0,"EXCLUDE","INCLUDE"))</f>
        <v/>
      </c>
      <c r="M362" s="11" t="str">
        <f>IF(L362&lt;&gt;"EXCLUDE","",IF(G362="No","Wrong domain (non-AECO)",IF(H362="No","Digital Twin not core / buzzword",IF(I362="No","No Design for Safety/Quality/PtD",IF(J362="No","Wrong publication type",IF(K362="No","Non-English",""))))))</f>
        <v/>
      </c>
      <c r="N362" s="12"/>
      <c r="O362" s="12"/>
      <c r="P362" s="13"/>
      <c r="Q362" s="13"/>
      <c r="R362" s="13"/>
      <c r="S362" s="11" t="str">
        <f>IF(N362&lt;&gt;"Yes","",IF(COUNTBLANK(P362:R362)=3,"",IF(COUNTIF(P362:R362,"No")&gt;0,"EXCLUDE","INCLUDE")))</f>
        <v/>
      </c>
      <c r="T362" s="11" t="str">
        <f>IF(S362&lt;&gt;"EXCLUDE","",IF(P362="No","Digital Twin mentioned only, not the subject",IF(Q362="No","No Design for Safety/Quality in full text",IF(R362="No","Methodology not codable",""))))</f>
        <v/>
      </c>
      <c r="U362" s="14"/>
      <c r="V362" s="14"/>
      <c r="W362" s="14"/>
      <c r="X362" s="14"/>
      <c r="Y362" s="11" t="str">
        <f>IF(SUM(V362:X362)=0,"",IF(SUM(V362:X362)&gt;=2,"Multi","Single"))</f>
        <v/>
      </c>
      <c r="Z362" s="14"/>
      <c r="AA362" s="14"/>
      <c r="AB362" s="14"/>
      <c r="AC362" s="14"/>
      <c r="AD362" s="14"/>
      <c r="AE362" s="14"/>
      <c r="AF362" s="14"/>
      <c r="AG362" s="15"/>
    </row>
    <row r="363" spans="1:33">
      <c r="A363" s="8" t="s">
        <v>487</v>
      </c>
      <c r="B363" s="9"/>
      <c r="C363" s="8"/>
      <c r="D363" s="9"/>
      <c r="E363" s="9"/>
      <c r="F363" s="8"/>
      <c r="G363" s="10"/>
      <c r="H363" s="10"/>
      <c r="I363" s="10"/>
      <c r="J363" s="10"/>
      <c r="K363" s="10"/>
      <c r="L363" s="11" t="str">
        <f>IF(COUNTBLANK(G363:K363)=5,"",IF(COUNTIF(G363:K363,"No")&gt;0,"EXCLUDE","INCLUDE"))</f>
        <v/>
      </c>
      <c r="M363" s="11" t="str">
        <f>IF(L363&lt;&gt;"EXCLUDE","",IF(G363="No","Wrong domain (non-AECO)",IF(H363="No","Digital Twin not core / buzzword",IF(I363="No","No Design for Safety/Quality/PtD",IF(J363="No","Wrong publication type",IF(K363="No","Non-English",""))))))</f>
        <v/>
      </c>
      <c r="N363" s="12"/>
      <c r="O363" s="12"/>
      <c r="P363" s="13"/>
      <c r="Q363" s="13"/>
      <c r="R363" s="13"/>
      <c r="S363" s="11" t="str">
        <f>IF(N363&lt;&gt;"Yes","",IF(COUNTBLANK(P363:R363)=3,"",IF(COUNTIF(P363:R363,"No")&gt;0,"EXCLUDE","INCLUDE")))</f>
        <v/>
      </c>
      <c r="T363" s="11" t="str">
        <f>IF(S363&lt;&gt;"EXCLUDE","",IF(P363="No","Digital Twin mentioned only, not the subject",IF(Q363="No","No Design for Safety/Quality in full text",IF(R363="No","Methodology not codable",""))))</f>
        <v/>
      </c>
      <c r="U363" s="14"/>
      <c r="V363" s="14"/>
      <c r="W363" s="14"/>
      <c r="X363" s="14"/>
      <c r="Y363" s="11" t="str">
        <f>IF(SUM(V363:X363)=0,"",IF(SUM(V363:X363)&gt;=2,"Multi","Single"))</f>
        <v/>
      </c>
      <c r="Z363" s="14"/>
      <c r="AA363" s="14"/>
      <c r="AB363" s="14"/>
      <c r="AC363" s="14"/>
      <c r="AD363" s="14"/>
      <c r="AE363" s="14"/>
      <c r="AF363" s="14"/>
      <c r="AG363" s="15"/>
    </row>
    <row r="364" spans="1:33">
      <c r="A364" s="8" t="s">
        <v>488</v>
      </c>
      <c r="B364" s="9"/>
      <c r="C364" s="8"/>
      <c r="D364" s="9"/>
      <c r="E364" s="9"/>
      <c r="F364" s="8"/>
      <c r="G364" s="10"/>
      <c r="H364" s="10"/>
      <c r="I364" s="10"/>
      <c r="J364" s="10"/>
      <c r="K364" s="10"/>
      <c r="L364" s="11" t="str">
        <f>IF(COUNTBLANK(G364:K364)=5,"",IF(COUNTIF(G364:K364,"No")&gt;0,"EXCLUDE","INCLUDE"))</f>
        <v/>
      </c>
      <c r="M364" s="11" t="str">
        <f>IF(L364&lt;&gt;"EXCLUDE","",IF(G364="No","Wrong domain (non-AECO)",IF(H364="No","Digital Twin not core / buzzword",IF(I364="No","No Design for Safety/Quality/PtD",IF(J364="No","Wrong publication type",IF(K364="No","Non-English",""))))))</f>
        <v/>
      </c>
      <c r="N364" s="12"/>
      <c r="O364" s="12"/>
      <c r="P364" s="13"/>
      <c r="Q364" s="13"/>
      <c r="R364" s="13"/>
      <c r="S364" s="11" t="str">
        <f>IF(N364&lt;&gt;"Yes","",IF(COUNTBLANK(P364:R364)=3,"",IF(COUNTIF(P364:R364,"No")&gt;0,"EXCLUDE","INCLUDE")))</f>
        <v/>
      </c>
      <c r="T364" s="11" t="str">
        <f>IF(S364&lt;&gt;"EXCLUDE","",IF(P364="No","Digital Twin mentioned only, not the subject",IF(Q364="No","No Design for Safety/Quality in full text",IF(R364="No","Methodology not codable",""))))</f>
        <v/>
      </c>
      <c r="U364" s="14"/>
      <c r="V364" s="14"/>
      <c r="W364" s="14"/>
      <c r="X364" s="14"/>
      <c r="Y364" s="11" t="str">
        <f>IF(SUM(V364:X364)=0,"",IF(SUM(V364:X364)&gt;=2,"Multi","Single"))</f>
        <v/>
      </c>
      <c r="Z364" s="14"/>
      <c r="AA364" s="14"/>
      <c r="AB364" s="14"/>
      <c r="AC364" s="14"/>
      <c r="AD364" s="14"/>
      <c r="AE364" s="14"/>
      <c r="AF364" s="14"/>
      <c r="AG364" s="15"/>
    </row>
    <row r="365" spans="1:33">
      <c r="A365" s="8" t="s">
        <v>489</v>
      </c>
      <c r="B365" s="9"/>
      <c r="C365" s="8"/>
      <c r="D365" s="9"/>
      <c r="E365" s="9"/>
      <c r="F365" s="8"/>
      <c r="G365" s="10"/>
      <c r="H365" s="10"/>
      <c r="I365" s="10"/>
      <c r="J365" s="10"/>
      <c r="K365" s="10"/>
      <c r="L365" s="11" t="str">
        <f>IF(COUNTBLANK(G365:K365)=5,"",IF(COUNTIF(G365:K365,"No")&gt;0,"EXCLUDE","INCLUDE"))</f>
        <v/>
      </c>
      <c r="M365" s="11" t="str">
        <f>IF(L365&lt;&gt;"EXCLUDE","",IF(G365="No","Wrong domain (non-AECO)",IF(H365="No","Digital Twin not core / buzzword",IF(I365="No","No Design for Safety/Quality/PtD",IF(J365="No","Wrong publication type",IF(K365="No","Non-English",""))))))</f>
        <v/>
      </c>
      <c r="N365" s="12"/>
      <c r="O365" s="12"/>
      <c r="P365" s="13"/>
      <c r="Q365" s="13"/>
      <c r="R365" s="13"/>
      <c r="S365" s="11" t="str">
        <f>IF(N365&lt;&gt;"Yes","",IF(COUNTBLANK(P365:R365)=3,"",IF(COUNTIF(P365:R365,"No")&gt;0,"EXCLUDE","INCLUDE")))</f>
        <v/>
      </c>
      <c r="T365" s="11" t="str">
        <f>IF(S365&lt;&gt;"EXCLUDE","",IF(P365="No","Digital Twin mentioned only, not the subject",IF(Q365="No","No Design for Safety/Quality in full text",IF(R365="No","Methodology not codable",""))))</f>
        <v/>
      </c>
      <c r="U365" s="14"/>
      <c r="V365" s="14"/>
      <c r="W365" s="14"/>
      <c r="X365" s="14"/>
      <c r="Y365" s="11" t="str">
        <f>IF(SUM(V365:X365)=0,"",IF(SUM(V365:X365)&gt;=2,"Multi","Single"))</f>
        <v/>
      </c>
      <c r="Z365" s="14"/>
      <c r="AA365" s="14"/>
      <c r="AB365" s="14"/>
      <c r="AC365" s="14"/>
      <c r="AD365" s="14"/>
      <c r="AE365" s="14"/>
      <c r="AF365" s="14"/>
      <c r="AG365" s="15"/>
    </row>
    <row r="366" spans="1:33">
      <c r="A366" s="8" t="s">
        <v>490</v>
      </c>
      <c r="B366" s="9"/>
      <c r="C366" s="8"/>
      <c r="D366" s="9"/>
      <c r="E366" s="9"/>
      <c r="F366" s="8"/>
      <c r="G366" s="10"/>
      <c r="H366" s="10"/>
      <c r="I366" s="10"/>
      <c r="J366" s="10"/>
      <c r="K366" s="10"/>
      <c r="L366" s="11" t="str">
        <f>IF(COUNTBLANK(G366:K366)=5,"",IF(COUNTIF(G366:K366,"No")&gt;0,"EXCLUDE","INCLUDE"))</f>
        <v/>
      </c>
      <c r="M366" s="11" t="str">
        <f>IF(L366&lt;&gt;"EXCLUDE","",IF(G366="No","Wrong domain (non-AECO)",IF(H366="No","Digital Twin not core / buzzword",IF(I366="No","No Design for Safety/Quality/PtD",IF(J366="No","Wrong publication type",IF(K366="No","Non-English",""))))))</f>
        <v/>
      </c>
      <c r="N366" s="12"/>
      <c r="O366" s="12"/>
      <c r="P366" s="13"/>
      <c r="Q366" s="13"/>
      <c r="R366" s="13"/>
      <c r="S366" s="11" t="str">
        <f>IF(N366&lt;&gt;"Yes","",IF(COUNTBLANK(P366:R366)=3,"",IF(COUNTIF(P366:R366,"No")&gt;0,"EXCLUDE","INCLUDE")))</f>
        <v/>
      </c>
      <c r="T366" s="11" t="str">
        <f>IF(S366&lt;&gt;"EXCLUDE","",IF(P366="No","Digital Twin mentioned only, not the subject",IF(Q366="No","No Design for Safety/Quality in full text",IF(R366="No","Methodology not codable",""))))</f>
        <v/>
      </c>
      <c r="U366" s="14"/>
      <c r="V366" s="14"/>
      <c r="W366" s="14"/>
      <c r="X366" s="14"/>
      <c r="Y366" s="11" t="str">
        <f>IF(SUM(V366:X366)=0,"",IF(SUM(V366:X366)&gt;=2,"Multi","Single"))</f>
        <v/>
      </c>
      <c r="Z366" s="14"/>
      <c r="AA366" s="14"/>
      <c r="AB366" s="14"/>
      <c r="AC366" s="14"/>
      <c r="AD366" s="14"/>
      <c r="AE366" s="14"/>
      <c r="AF366" s="14"/>
      <c r="AG366" s="15"/>
    </row>
    <row r="367" spans="1:33">
      <c r="A367" s="8" t="s">
        <v>491</v>
      </c>
      <c r="B367" s="9"/>
      <c r="C367" s="8"/>
      <c r="D367" s="9"/>
      <c r="E367" s="9"/>
      <c r="F367" s="8"/>
      <c r="G367" s="10"/>
      <c r="H367" s="10"/>
      <c r="I367" s="10"/>
      <c r="J367" s="10"/>
      <c r="K367" s="10"/>
      <c r="L367" s="11" t="str">
        <f>IF(COUNTBLANK(G367:K367)=5,"",IF(COUNTIF(G367:K367,"No")&gt;0,"EXCLUDE","INCLUDE"))</f>
        <v/>
      </c>
      <c r="M367" s="11" t="str">
        <f>IF(L367&lt;&gt;"EXCLUDE","",IF(G367="No","Wrong domain (non-AECO)",IF(H367="No","Digital Twin not core / buzzword",IF(I367="No","No Design for Safety/Quality/PtD",IF(J367="No","Wrong publication type",IF(K367="No","Non-English",""))))))</f>
        <v/>
      </c>
      <c r="N367" s="12"/>
      <c r="O367" s="12"/>
      <c r="P367" s="13"/>
      <c r="Q367" s="13"/>
      <c r="R367" s="13"/>
      <c r="S367" s="11" t="str">
        <f>IF(N367&lt;&gt;"Yes","",IF(COUNTBLANK(P367:R367)=3,"",IF(COUNTIF(P367:R367,"No")&gt;0,"EXCLUDE","INCLUDE")))</f>
        <v/>
      </c>
      <c r="T367" s="11" t="str">
        <f>IF(S367&lt;&gt;"EXCLUDE","",IF(P367="No","Digital Twin mentioned only, not the subject",IF(Q367="No","No Design for Safety/Quality in full text",IF(R367="No","Methodology not codable",""))))</f>
        <v/>
      </c>
      <c r="U367" s="14"/>
      <c r="V367" s="14"/>
      <c r="W367" s="14"/>
      <c r="X367" s="14"/>
      <c r="Y367" s="11" t="str">
        <f>IF(SUM(V367:X367)=0,"",IF(SUM(V367:X367)&gt;=2,"Multi","Single"))</f>
        <v/>
      </c>
      <c r="Z367" s="14"/>
      <c r="AA367" s="14"/>
      <c r="AB367" s="14"/>
      <c r="AC367" s="14"/>
      <c r="AD367" s="14"/>
      <c r="AE367" s="14"/>
      <c r="AF367" s="14"/>
      <c r="AG367" s="15"/>
    </row>
    <row r="368" spans="1:33">
      <c r="A368" s="8" t="s">
        <v>492</v>
      </c>
      <c r="B368" s="9"/>
      <c r="C368" s="8"/>
      <c r="D368" s="9"/>
      <c r="E368" s="9"/>
      <c r="F368" s="8"/>
      <c r="G368" s="10"/>
      <c r="H368" s="10"/>
      <c r="I368" s="10"/>
      <c r="J368" s="10"/>
      <c r="K368" s="10"/>
      <c r="L368" s="11" t="str">
        <f>IF(COUNTBLANK(G368:K368)=5,"",IF(COUNTIF(G368:K368,"No")&gt;0,"EXCLUDE","INCLUDE"))</f>
        <v/>
      </c>
      <c r="M368" s="11" t="str">
        <f>IF(L368&lt;&gt;"EXCLUDE","",IF(G368="No","Wrong domain (non-AECO)",IF(H368="No","Digital Twin not core / buzzword",IF(I368="No","No Design for Safety/Quality/PtD",IF(J368="No","Wrong publication type",IF(K368="No","Non-English",""))))))</f>
        <v/>
      </c>
      <c r="N368" s="12"/>
      <c r="O368" s="12"/>
      <c r="P368" s="13"/>
      <c r="Q368" s="13"/>
      <c r="R368" s="13"/>
      <c r="S368" s="11" t="str">
        <f>IF(N368&lt;&gt;"Yes","",IF(COUNTBLANK(P368:R368)=3,"",IF(COUNTIF(P368:R368,"No")&gt;0,"EXCLUDE","INCLUDE")))</f>
        <v/>
      </c>
      <c r="T368" s="11" t="str">
        <f>IF(S368&lt;&gt;"EXCLUDE","",IF(P368="No","Digital Twin mentioned only, not the subject",IF(Q368="No","No Design for Safety/Quality in full text",IF(R368="No","Methodology not codable",""))))</f>
        <v/>
      </c>
      <c r="U368" s="14"/>
      <c r="V368" s="14"/>
      <c r="W368" s="14"/>
      <c r="X368" s="14"/>
      <c r="Y368" s="11" t="str">
        <f>IF(SUM(V368:X368)=0,"",IF(SUM(V368:X368)&gt;=2,"Multi","Single"))</f>
        <v/>
      </c>
      <c r="Z368" s="14"/>
      <c r="AA368" s="14"/>
      <c r="AB368" s="14"/>
      <c r="AC368" s="14"/>
      <c r="AD368" s="14"/>
      <c r="AE368" s="14"/>
      <c r="AF368" s="14"/>
      <c r="AG368" s="15"/>
    </row>
    <row r="369" spans="1:33">
      <c r="A369" s="8" t="s">
        <v>493</v>
      </c>
      <c r="B369" s="9"/>
      <c r="C369" s="8"/>
      <c r="D369" s="9"/>
      <c r="E369" s="9"/>
      <c r="F369" s="8"/>
      <c r="G369" s="10"/>
      <c r="H369" s="10"/>
      <c r="I369" s="10"/>
      <c r="J369" s="10"/>
      <c r="K369" s="10"/>
      <c r="L369" s="11" t="str">
        <f>IF(COUNTBLANK(G369:K369)=5,"",IF(COUNTIF(G369:K369,"No")&gt;0,"EXCLUDE","INCLUDE"))</f>
        <v/>
      </c>
      <c r="M369" s="11" t="str">
        <f>IF(L369&lt;&gt;"EXCLUDE","",IF(G369="No","Wrong domain (non-AECO)",IF(H369="No","Digital Twin not core / buzzword",IF(I369="No","No Design for Safety/Quality/PtD",IF(J369="No","Wrong publication type",IF(K369="No","Non-English",""))))))</f>
        <v/>
      </c>
      <c r="N369" s="12"/>
      <c r="O369" s="12"/>
      <c r="P369" s="13"/>
      <c r="Q369" s="13"/>
      <c r="R369" s="13"/>
      <c r="S369" s="11" t="str">
        <f>IF(N369&lt;&gt;"Yes","",IF(COUNTBLANK(P369:R369)=3,"",IF(COUNTIF(P369:R369,"No")&gt;0,"EXCLUDE","INCLUDE")))</f>
        <v/>
      </c>
      <c r="T369" s="11" t="str">
        <f>IF(S369&lt;&gt;"EXCLUDE","",IF(P369="No","Digital Twin mentioned only, not the subject",IF(Q369="No","No Design for Safety/Quality in full text",IF(R369="No","Methodology not codable",""))))</f>
        <v/>
      </c>
      <c r="U369" s="14"/>
      <c r="V369" s="14"/>
      <c r="W369" s="14"/>
      <c r="X369" s="14"/>
      <c r="Y369" s="11" t="str">
        <f>IF(SUM(V369:X369)=0,"",IF(SUM(V369:X369)&gt;=2,"Multi","Single"))</f>
        <v/>
      </c>
      <c r="Z369" s="14"/>
      <c r="AA369" s="14"/>
      <c r="AB369" s="14"/>
      <c r="AC369" s="14"/>
      <c r="AD369" s="14"/>
      <c r="AE369" s="14"/>
      <c r="AF369" s="14"/>
      <c r="AG369" s="15"/>
    </row>
    <row r="370" spans="1:33">
      <c r="A370" s="8" t="s">
        <v>494</v>
      </c>
      <c r="B370" s="9"/>
      <c r="C370" s="8"/>
      <c r="D370" s="9"/>
      <c r="E370" s="9"/>
      <c r="F370" s="8"/>
      <c r="G370" s="10"/>
      <c r="H370" s="10"/>
      <c r="I370" s="10"/>
      <c r="J370" s="10"/>
      <c r="K370" s="10"/>
      <c r="L370" s="11" t="str">
        <f>IF(COUNTBLANK(G370:K370)=5,"",IF(COUNTIF(G370:K370,"No")&gt;0,"EXCLUDE","INCLUDE"))</f>
        <v/>
      </c>
      <c r="M370" s="11" t="str">
        <f>IF(L370&lt;&gt;"EXCLUDE","",IF(G370="No","Wrong domain (non-AECO)",IF(H370="No","Digital Twin not core / buzzword",IF(I370="No","No Design for Safety/Quality/PtD",IF(J370="No","Wrong publication type",IF(K370="No","Non-English",""))))))</f>
        <v/>
      </c>
      <c r="N370" s="12"/>
      <c r="O370" s="12"/>
      <c r="P370" s="13"/>
      <c r="Q370" s="13"/>
      <c r="R370" s="13"/>
      <c r="S370" s="11" t="str">
        <f>IF(N370&lt;&gt;"Yes","",IF(COUNTBLANK(P370:R370)=3,"",IF(COUNTIF(P370:R370,"No")&gt;0,"EXCLUDE","INCLUDE")))</f>
        <v/>
      </c>
      <c r="T370" s="11" t="str">
        <f>IF(S370&lt;&gt;"EXCLUDE","",IF(P370="No","Digital Twin mentioned only, not the subject",IF(Q370="No","No Design for Safety/Quality in full text",IF(R370="No","Methodology not codable",""))))</f>
        <v/>
      </c>
      <c r="U370" s="14"/>
      <c r="V370" s="14"/>
      <c r="W370" s="14"/>
      <c r="X370" s="14"/>
      <c r="Y370" s="11" t="str">
        <f>IF(SUM(V370:X370)=0,"",IF(SUM(V370:X370)&gt;=2,"Multi","Single"))</f>
        <v/>
      </c>
      <c r="Z370" s="14"/>
      <c r="AA370" s="14"/>
      <c r="AB370" s="14"/>
      <c r="AC370" s="14"/>
      <c r="AD370" s="14"/>
      <c r="AE370" s="14"/>
      <c r="AF370" s="14"/>
      <c r="AG370" s="15"/>
    </row>
    <row r="371" spans="1:33">
      <c r="A371" s="8" t="s">
        <v>495</v>
      </c>
      <c r="B371" s="9"/>
      <c r="C371" s="8"/>
      <c r="D371" s="9"/>
      <c r="E371" s="9"/>
      <c r="F371" s="8"/>
      <c r="G371" s="10"/>
      <c r="H371" s="10"/>
      <c r="I371" s="10"/>
      <c r="J371" s="10"/>
      <c r="K371" s="10"/>
      <c r="L371" s="11" t="str">
        <f>IF(COUNTBLANK(G371:K371)=5,"",IF(COUNTIF(G371:K371,"No")&gt;0,"EXCLUDE","INCLUDE"))</f>
        <v/>
      </c>
      <c r="M371" s="11" t="str">
        <f>IF(L371&lt;&gt;"EXCLUDE","",IF(G371="No","Wrong domain (non-AECO)",IF(H371="No","Digital Twin not core / buzzword",IF(I371="No","No Design for Safety/Quality/PtD",IF(J371="No","Wrong publication type",IF(K371="No","Non-English",""))))))</f>
        <v/>
      </c>
      <c r="N371" s="12"/>
      <c r="O371" s="12"/>
      <c r="P371" s="13"/>
      <c r="Q371" s="13"/>
      <c r="R371" s="13"/>
      <c r="S371" s="11" t="str">
        <f>IF(N371&lt;&gt;"Yes","",IF(COUNTBLANK(P371:R371)=3,"",IF(COUNTIF(P371:R371,"No")&gt;0,"EXCLUDE","INCLUDE")))</f>
        <v/>
      </c>
      <c r="T371" s="11" t="str">
        <f>IF(S371&lt;&gt;"EXCLUDE","",IF(P371="No","Digital Twin mentioned only, not the subject",IF(Q371="No","No Design for Safety/Quality in full text",IF(R371="No","Methodology not codable",""))))</f>
        <v/>
      </c>
      <c r="U371" s="14"/>
      <c r="V371" s="14"/>
      <c r="W371" s="14"/>
      <c r="X371" s="14"/>
      <c r="Y371" s="11" t="str">
        <f>IF(SUM(V371:X371)=0,"",IF(SUM(V371:X371)&gt;=2,"Multi","Single"))</f>
        <v/>
      </c>
      <c r="Z371" s="14"/>
      <c r="AA371" s="14"/>
      <c r="AB371" s="14"/>
      <c r="AC371" s="14"/>
      <c r="AD371" s="14"/>
      <c r="AE371" s="14"/>
      <c r="AF371" s="14"/>
      <c r="AG371" s="15"/>
    </row>
    <row r="372" spans="1:33">
      <c r="A372" s="8" t="s">
        <v>496</v>
      </c>
      <c r="B372" s="9"/>
      <c r="C372" s="8"/>
      <c r="D372" s="9"/>
      <c r="E372" s="9"/>
      <c r="F372" s="8"/>
      <c r="G372" s="10"/>
      <c r="H372" s="10"/>
      <c r="I372" s="10"/>
      <c r="J372" s="10"/>
      <c r="K372" s="10"/>
      <c r="L372" s="11" t="str">
        <f>IF(COUNTBLANK(G372:K372)=5,"",IF(COUNTIF(G372:K372,"No")&gt;0,"EXCLUDE","INCLUDE"))</f>
        <v/>
      </c>
      <c r="M372" s="11" t="str">
        <f>IF(L372&lt;&gt;"EXCLUDE","",IF(G372="No","Wrong domain (non-AECO)",IF(H372="No","Digital Twin not core / buzzword",IF(I372="No","No Design for Safety/Quality/PtD",IF(J372="No","Wrong publication type",IF(K372="No","Non-English",""))))))</f>
        <v/>
      </c>
      <c r="N372" s="12"/>
      <c r="O372" s="12"/>
      <c r="P372" s="13"/>
      <c r="Q372" s="13"/>
      <c r="R372" s="13"/>
      <c r="S372" s="11" t="str">
        <f>IF(N372&lt;&gt;"Yes","",IF(COUNTBLANK(P372:R372)=3,"",IF(COUNTIF(P372:R372,"No")&gt;0,"EXCLUDE","INCLUDE")))</f>
        <v/>
      </c>
      <c r="T372" s="11" t="str">
        <f>IF(S372&lt;&gt;"EXCLUDE","",IF(P372="No","Digital Twin mentioned only, not the subject",IF(Q372="No","No Design for Safety/Quality in full text",IF(R372="No","Methodology not codable",""))))</f>
        <v/>
      </c>
      <c r="U372" s="14"/>
      <c r="V372" s="14"/>
      <c r="W372" s="14"/>
      <c r="X372" s="14"/>
      <c r="Y372" s="11" t="str">
        <f>IF(SUM(V372:X372)=0,"",IF(SUM(V372:X372)&gt;=2,"Multi","Single"))</f>
        <v/>
      </c>
      <c r="Z372" s="14"/>
      <c r="AA372" s="14"/>
      <c r="AB372" s="14"/>
      <c r="AC372" s="14"/>
      <c r="AD372" s="14"/>
      <c r="AE372" s="14"/>
      <c r="AF372" s="14"/>
      <c r="AG372" s="15"/>
    </row>
    <row r="373" spans="1:33">
      <c r="A373" s="8" t="s">
        <v>497</v>
      </c>
      <c r="B373" s="9"/>
      <c r="C373" s="8"/>
      <c r="D373" s="9"/>
      <c r="E373" s="9"/>
      <c r="F373" s="8"/>
      <c r="G373" s="10"/>
      <c r="H373" s="10"/>
      <c r="I373" s="10"/>
      <c r="J373" s="10"/>
      <c r="K373" s="10"/>
      <c r="L373" s="11" t="str">
        <f>IF(COUNTBLANK(G373:K373)=5,"",IF(COUNTIF(G373:K373,"No")&gt;0,"EXCLUDE","INCLUDE"))</f>
        <v/>
      </c>
      <c r="M373" s="11" t="str">
        <f>IF(L373&lt;&gt;"EXCLUDE","",IF(G373="No","Wrong domain (non-AECO)",IF(H373="No","Digital Twin not core / buzzword",IF(I373="No","No Design for Safety/Quality/PtD",IF(J373="No","Wrong publication type",IF(K373="No","Non-English",""))))))</f>
        <v/>
      </c>
      <c r="N373" s="12"/>
      <c r="O373" s="12"/>
      <c r="P373" s="13"/>
      <c r="Q373" s="13"/>
      <c r="R373" s="13"/>
      <c r="S373" s="11" t="str">
        <f>IF(N373&lt;&gt;"Yes","",IF(COUNTBLANK(P373:R373)=3,"",IF(COUNTIF(P373:R373,"No")&gt;0,"EXCLUDE","INCLUDE")))</f>
        <v/>
      </c>
      <c r="T373" s="11" t="str">
        <f>IF(S373&lt;&gt;"EXCLUDE","",IF(P373="No","Digital Twin mentioned only, not the subject",IF(Q373="No","No Design for Safety/Quality in full text",IF(R373="No","Methodology not codable",""))))</f>
        <v/>
      </c>
      <c r="U373" s="14"/>
      <c r="V373" s="14"/>
      <c r="W373" s="14"/>
      <c r="X373" s="14"/>
      <c r="Y373" s="11" t="str">
        <f>IF(SUM(V373:X373)=0,"",IF(SUM(V373:X373)&gt;=2,"Multi","Single"))</f>
        <v/>
      </c>
      <c r="Z373" s="14"/>
      <c r="AA373" s="14"/>
      <c r="AB373" s="14"/>
      <c r="AC373" s="14"/>
      <c r="AD373" s="14"/>
      <c r="AE373" s="14"/>
      <c r="AF373" s="14"/>
      <c r="AG373" s="15"/>
    </row>
    <row r="374" spans="1:33">
      <c r="A374" s="8" t="s">
        <v>498</v>
      </c>
      <c r="B374" s="9"/>
      <c r="C374" s="8"/>
      <c r="D374" s="9"/>
      <c r="E374" s="9"/>
      <c r="F374" s="8"/>
      <c r="G374" s="10"/>
      <c r="H374" s="10"/>
      <c r="I374" s="10"/>
      <c r="J374" s="10"/>
      <c r="K374" s="10"/>
      <c r="L374" s="11" t="str">
        <f>IF(COUNTBLANK(G374:K374)=5,"",IF(COUNTIF(G374:K374,"No")&gt;0,"EXCLUDE","INCLUDE"))</f>
        <v/>
      </c>
      <c r="M374" s="11" t="str">
        <f>IF(L374&lt;&gt;"EXCLUDE","",IF(G374="No","Wrong domain (non-AECO)",IF(H374="No","Digital Twin not core / buzzword",IF(I374="No","No Design for Safety/Quality/PtD",IF(J374="No","Wrong publication type",IF(K374="No","Non-English",""))))))</f>
        <v/>
      </c>
      <c r="N374" s="12"/>
      <c r="O374" s="12"/>
      <c r="P374" s="13"/>
      <c r="Q374" s="13"/>
      <c r="R374" s="13"/>
      <c r="S374" s="11" t="str">
        <f>IF(N374&lt;&gt;"Yes","",IF(COUNTBLANK(P374:R374)=3,"",IF(COUNTIF(P374:R374,"No")&gt;0,"EXCLUDE","INCLUDE")))</f>
        <v/>
      </c>
      <c r="T374" s="11" t="str">
        <f>IF(S374&lt;&gt;"EXCLUDE","",IF(P374="No","Digital Twin mentioned only, not the subject",IF(Q374="No","No Design for Safety/Quality in full text",IF(R374="No","Methodology not codable",""))))</f>
        <v/>
      </c>
      <c r="U374" s="14"/>
      <c r="V374" s="14"/>
      <c r="W374" s="14"/>
      <c r="X374" s="14"/>
      <c r="Y374" s="11" t="str">
        <f>IF(SUM(V374:X374)=0,"",IF(SUM(V374:X374)&gt;=2,"Multi","Single"))</f>
        <v/>
      </c>
      <c r="Z374" s="14"/>
      <c r="AA374" s="14"/>
      <c r="AB374" s="14"/>
      <c r="AC374" s="14"/>
      <c r="AD374" s="14"/>
      <c r="AE374" s="14"/>
      <c r="AF374" s="14"/>
      <c r="AG374" s="15"/>
    </row>
    <row r="375" spans="1:33">
      <c r="A375" s="8" t="s">
        <v>499</v>
      </c>
      <c r="B375" s="9"/>
      <c r="C375" s="8"/>
      <c r="D375" s="9"/>
      <c r="E375" s="9"/>
      <c r="F375" s="8"/>
      <c r="G375" s="10"/>
      <c r="H375" s="10"/>
      <c r="I375" s="10"/>
      <c r="J375" s="10"/>
      <c r="K375" s="10"/>
      <c r="L375" s="11" t="str">
        <f>IF(COUNTBLANK(G375:K375)=5,"",IF(COUNTIF(G375:K375,"No")&gt;0,"EXCLUDE","INCLUDE"))</f>
        <v/>
      </c>
      <c r="M375" s="11" t="str">
        <f>IF(L375&lt;&gt;"EXCLUDE","",IF(G375="No","Wrong domain (non-AECO)",IF(H375="No","Digital Twin not core / buzzword",IF(I375="No","No Design for Safety/Quality/PtD",IF(J375="No","Wrong publication type",IF(K375="No","Non-English",""))))))</f>
        <v/>
      </c>
      <c r="N375" s="12"/>
      <c r="O375" s="12"/>
      <c r="P375" s="13"/>
      <c r="Q375" s="13"/>
      <c r="R375" s="13"/>
      <c r="S375" s="11" t="str">
        <f>IF(N375&lt;&gt;"Yes","",IF(COUNTBLANK(P375:R375)=3,"",IF(COUNTIF(P375:R375,"No")&gt;0,"EXCLUDE","INCLUDE")))</f>
        <v/>
      </c>
      <c r="T375" s="11" t="str">
        <f>IF(S375&lt;&gt;"EXCLUDE","",IF(P375="No","Digital Twin mentioned only, not the subject",IF(Q375="No","No Design for Safety/Quality in full text",IF(R375="No","Methodology not codable",""))))</f>
        <v/>
      </c>
      <c r="U375" s="14"/>
      <c r="V375" s="14"/>
      <c r="W375" s="14"/>
      <c r="X375" s="14"/>
      <c r="Y375" s="11" t="str">
        <f>IF(SUM(V375:X375)=0,"",IF(SUM(V375:X375)&gt;=2,"Multi","Single"))</f>
        <v/>
      </c>
      <c r="Z375" s="14"/>
      <c r="AA375" s="14"/>
      <c r="AB375" s="14"/>
      <c r="AC375" s="14"/>
      <c r="AD375" s="14"/>
      <c r="AE375" s="14"/>
      <c r="AF375" s="14"/>
      <c r="AG375" s="15"/>
    </row>
    <row r="376" spans="1:33">
      <c r="A376" s="8" t="s">
        <v>500</v>
      </c>
      <c r="B376" s="9"/>
      <c r="C376" s="8"/>
      <c r="D376" s="9"/>
      <c r="E376" s="9"/>
      <c r="F376" s="8"/>
      <c r="G376" s="10"/>
      <c r="H376" s="10"/>
      <c r="I376" s="10"/>
      <c r="J376" s="10"/>
      <c r="K376" s="10"/>
      <c r="L376" s="11" t="str">
        <f>IF(COUNTBLANK(G376:K376)=5,"",IF(COUNTIF(G376:K376,"No")&gt;0,"EXCLUDE","INCLUDE"))</f>
        <v/>
      </c>
      <c r="M376" s="11" t="str">
        <f>IF(L376&lt;&gt;"EXCLUDE","",IF(G376="No","Wrong domain (non-AECO)",IF(H376="No","Digital Twin not core / buzzword",IF(I376="No","No Design for Safety/Quality/PtD",IF(J376="No","Wrong publication type",IF(K376="No","Non-English",""))))))</f>
        <v/>
      </c>
      <c r="N376" s="12"/>
      <c r="O376" s="12"/>
      <c r="P376" s="13"/>
      <c r="Q376" s="13"/>
      <c r="R376" s="13"/>
      <c r="S376" s="11" t="str">
        <f>IF(N376&lt;&gt;"Yes","",IF(COUNTBLANK(P376:R376)=3,"",IF(COUNTIF(P376:R376,"No")&gt;0,"EXCLUDE","INCLUDE")))</f>
        <v/>
      </c>
      <c r="T376" s="11" t="str">
        <f>IF(S376&lt;&gt;"EXCLUDE","",IF(P376="No","Digital Twin mentioned only, not the subject",IF(Q376="No","No Design for Safety/Quality in full text",IF(R376="No","Methodology not codable",""))))</f>
        <v/>
      </c>
      <c r="U376" s="14"/>
      <c r="V376" s="14"/>
      <c r="W376" s="14"/>
      <c r="X376" s="14"/>
      <c r="Y376" s="11" t="str">
        <f>IF(SUM(V376:X376)=0,"",IF(SUM(V376:X376)&gt;=2,"Multi","Single"))</f>
        <v/>
      </c>
      <c r="Z376" s="14"/>
      <c r="AA376" s="14"/>
      <c r="AB376" s="14"/>
      <c r="AC376" s="14"/>
      <c r="AD376" s="14"/>
      <c r="AE376" s="14"/>
      <c r="AF376" s="14"/>
      <c r="AG376" s="15"/>
    </row>
    <row r="377" spans="1:33">
      <c r="A377" s="8" t="s">
        <v>501</v>
      </c>
      <c r="B377" s="9"/>
      <c r="C377" s="8"/>
      <c r="D377" s="9"/>
      <c r="E377" s="9"/>
      <c r="F377" s="8"/>
      <c r="G377" s="10"/>
      <c r="H377" s="10"/>
      <c r="I377" s="10"/>
      <c r="J377" s="10"/>
      <c r="K377" s="10"/>
      <c r="L377" s="11" t="str">
        <f>IF(COUNTBLANK(G377:K377)=5,"",IF(COUNTIF(G377:K377,"No")&gt;0,"EXCLUDE","INCLUDE"))</f>
        <v/>
      </c>
      <c r="M377" s="11" t="str">
        <f>IF(L377&lt;&gt;"EXCLUDE","",IF(G377="No","Wrong domain (non-AECO)",IF(H377="No","Digital Twin not core / buzzword",IF(I377="No","No Design for Safety/Quality/PtD",IF(J377="No","Wrong publication type",IF(K377="No","Non-English",""))))))</f>
        <v/>
      </c>
      <c r="N377" s="12"/>
      <c r="O377" s="12"/>
      <c r="P377" s="13"/>
      <c r="Q377" s="13"/>
      <c r="R377" s="13"/>
      <c r="S377" s="11" t="str">
        <f>IF(N377&lt;&gt;"Yes","",IF(COUNTBLANK(P377:R377)=3,"",IF(COUNTIF(P377:R377,"No")&gt;0,"EXCLUDE","INCLUDE")))</f>
        <v/>
      </c>
      <c r="T377" s="11" t="str">
        <f>IF(S377&lt;&gt;"EXCLUDE","",IF(P377="No","Digital Twin mentioned only, not the subject",IF(Q377="No","No Design for Safety/Quality in full text",IF(R377="No","Methodology not codable",""))))</f>
        <v/>
      </c>
      <c r="U377" s="14"/>
      <c r="V377" s="14"/>
      <c r="W377" s="14"/>
      <c r="X377" s="14"/>
      <c r="Y377" s="11" t="str">
        <f>IF(SUM(V377:X377)=0,"",IF(SUM(V377:X377)&gt;=2,"Multi","Single"))</f>
        <v/>
      </c>
      <c r="Z377" s="14"/>
      <c r="AA377" s="14"/>
      <c r="AB377" s="14"/>
      <c r="AC377" s="14"/>
      <c r="AD377" s="14"/>
      <c r="AE377" s="14"/>
      <c r="AF377" s="14"/>
      <c r="AG377" s="15"/>
    </row>
    <row r="378" spans="1:33">
      <c r="A378" s="8" t="s">
        <v>502</v>
      </c>
      <c r="B378" s="9"/>
      <c r="C378" s="8"/>
      <c r="D378" s="9"/>
      <c r="E378" s="9"/>
      <c r="F378" s="8"/>
      <c r="G378" s="10"/>
      <c r="H378" s="10"/>
      <c r="I378" s="10"/>
      <c r="J378" s="10"/>
      <c r="K378" s="10"/>
      <c r="L378" s="11" t="str">
        <f>IF(COUNTBLANK(G378:K378)=5,"",IF(COUNTIF(G378:K378,"No")&gt;0,"EXCLUDE","INCLUDE"))</f>
        <v/>
      </c>
      <c r="M378" s="11" t="str">
        <f>IF(L378&lt;&gt;"EXCLUDE","",IF(G378="No","Wrong domain (non-AECO)",IF(H378="No","Digital Twin not core / buzzword",IF(I378="No","No Design for Safety/Quality/PtD",IF(J378="No","Wrong publication type",IF(K378="No","Non-English",""))))))</f>
        <v/>
      </c>
      <c r="N378" s="12"/>
      <c r="O378" s="12"/>
      <c r="P378" s="13"/>
      <c r="Q378" s="13"/>
      <c r="R378" s="13"/>
      <c r="S378" s="11" t="str">
        <f>IF(N378&lt;&gt;"Yes","",IF(COUNTBLANK(P378:R378)=3,"",IF(COUNTIF(P378:R378,"No")&gt;0,"EXCLUDE","INCLUDE")))</f>
        <v/>
      </c>
      <c r="T378" s="11" t="str">
        <f>IF(S378&lt;&gt;"EXCLUDE","",IF(P378="No","Digital Twin mentioned only, not the subject",IF(Q378="No","No Design for Safety/Quality in full text",IF(R378="No","Methodology not codable",""))))</f>
        <v/>
      </c>
      <c r="U378" s="14"/>
      <c r="V378" s="14"/>
      <c r="W378" s="14"/>
      <c r="X378" s="14"/>
      <c r="Y378" s="11" t="str">
        <f>IF(SUM(V378:X378)=0,"",IF(SUM(V378:X378)&gt;=2,"Multi","Single"))</f>
        <v/>
      </c>
      <c r="Z378" s="14"/>
      <c r="AA378" s="14"/>
      <c r="AB378" s="14"/>
      <c r="AC378" s="14"/>
      <c r="AD378" s="14"/>
      <c r="AE378" s="14"/>
      <c r="AF378" s="14"/>
      <c r="AG378" s="15"/>
    </row>
    <row r="379" spans="1:33">
      <c r="A379" s="8" t="s">
        <v>503</v>
      </c>
      <c r="B379" s="9"/>
      <c r="C379" s="8"/>
      <c r="D379" s="9"/>
      <c r="E379" s="9"/>
      <c r="F379" s="8"/>
      <c r="G379" s="10"/>
      <c r="H379" s="10"/>
      <c r="I379" s="10"/>
      <c r="J379" s="10"/>
      <c r="K379" s="10"/>
      <c r="L379" s="11" t="str">
        <f>IF(COUNTBLANK(G379:K379)=5,"",IF(COUNTIF(G379:K379,"No")&gt;0,"EXCLUDE","INCLUDE"))</f>
        <v/>
      </c>
      <c r="M379" s="11" t="str">
        <f>IF(L379&lt;&gt;"EXCLUDE","",IF(G379="No","Wrong domain (non-AECO)",IF(H379="No","Digital Twin not core / buzzword",IF(I379="No","No Design for Safety/Quality/PtD",IF(J379="No","Wrong publication type",IF(K379="No","Non-English",""))))))</f>
        <v/>
      </c>
      <c r="N379" s="12"/>
      <c r="O379" s="12"/>
      <c r="P379" s="13"/>
      <c r="Q379" s="13"/>
      <c r="R379" s="13"/>
      <c r="S379" s="11" t="str">
        <f>IF(N379&lt;&gt;"Yes","",IF(COUNTBLANK(P379:R379)=3,"",IF(COUNTIF(P379:R379,"No")&gt;0,"EXCLUDE","INCLUDE")))</f>
        <v/>
      </c>
      <c r="T379" s="11" t="str">
        <f>IF(S379&lt;&gt;"EXCLUDE","",IF(P379="No","Digital Twin mentioned only, not the subject",IF(Q379="No","No Design for Safety/Quality in full text",IF(R379="No","Methodology not codable",""))))</f>
        <v/>
      </c>
      <c r="U379" s="14"/>
      <c r="V379" s="14"/>
      <c r="W379" s="14"/>
      <c r="X379" s="14"/>
      <c r="Y379" s="11" t="str">
        <f>IF(SUM(V379:X379)=0,"",IF(SUM(V379:X379)&gt;=2,"Multi","Single"))</f>
        <v/>
      </c>
      <c r="Z379" s="14"/>
      <c r="AA379" s="14"/>
      <c r="AB379" s="14"/>
      <c r="AC379" s="14"/>
      <c r="AD379" s="14"/>
      <c r="AE379" s="14"/>
      <c r="AF379" s="14"/>
      <c r="AG379" s="15"/>
    </row>
    <row r="380" spans="1:33">
      <c r="A380" s="8" t="s">
        <v>504</v>
      </c>
      <c r="B380" s="9"/>
      <c r="C380" s="8"/>
      <c r="D380" s="9"/>
      <c r="E380" s="9"/>
      <c r="F380" s="8"/>
      <c r="G380" s="10"/>
      <c r="H380" s="10"/>
      <c r="I380" s="10"/>
      <c r="J380" s="10"/>
      <c r="K380" s="10"/>
      <c r="L380" s="11" t="str">
        <f>IF(COUNTBLANK(G380:K380)=5,"",IF(COUNTIF(G380:K380,"No")&gt;0,"EXCLUDE","INCLUDE"))</f>
        <v/>
      </c>
      <c r="M380" s="11" t="str">
        <f>IF(L380&lt;&gt;"EXCLUDE","",IF(G380="No","Wrong domain (non-AECO)",IF(H380="No","Digital Twin not core / buzzword",IF(I380="No","No Design for Safety/Quality/PtD",IF(J380="No","Wrong publication type",IF(K380="No","Non-English",""))))))</f>
        <v/>
      </c>
      <c r="N380" s="12"/>
      <c r="O380" s="12"/>
      <c r="P380" s="13"/>
      <c r="Q380" s="13"/>
      <c r="R380" s="13"/>
      <c r="S380" s="11" t="str">
        <f>IF(N380&lt;&gt;"Yes","",IF(COUNTBLANK(P380:R380)=3,"",IF(COUNTIF(P380:R380,"No")&gt;0,"EXCLUDE","INCLUDE")))</f>
        <v/>
      </c>
      <c r="T380" s="11" t="str">
        <f>IF(S380&lt;&gt;"EXCLUDE","",IF(P380="No","Digital Twin mentioned only, not the subject",IF(Q380="No","No Design for Safety/Quality in full text",IF(R380="No","Methodology not codable",""))))</f>
        <v/>
      </c>
      <c r="U380" s="14"/>
      <c r="V380" s="14"/>
      <c r="W380" s="14"/>
      <c r="X380" s="14"/>
      <c r="Y380" s="11" t="str">
        <f>IF(SUM(V380:X380)=0,"",IF(SUM(V380:X380)&gt;=2,"Multi","Single"))</f>
        <v/>
      </c>
      <c r="Z380" s="14"/>
      <c r="AA380" s="14"/>
      <c r="AB380" s="14"/>
      <c r="AC380" s="14"/>
      <c r="AD380" s="14"/>
      <c r="AE380" s="14"/>
      <c r="AF380" s="14"/>
      <c r="AG380" s="15"/>
    </row>
    <row r="381" spans="1:33">
      <c r="A381" s="8" t="s">
        <v>505</v>
      </c>
      <c r="B381" s="9"/>
      <c r="C381" s="8"/>
      <c r="D381" s="9"/>
      <c r="E381" s="9"/>
      <c r="F381" s="8"/>
      <c r="G381" s="10"/>
      <c r="H381" s="10"/>
      <c r="I381" s="10"/>
      <c r="J381" s="10"/>
      <c r="K381" s="10"/>
      <c r="L381" s="11" t="str">
        <f>IF(COUNTBLANK(G381:K381)=5,"",IF(COUNTIF(G381:K381,"No")&gt;0,"EXCLUDE","INCLUDE"))</f>
        <v/>
      </c>
      <c r="M381" s="11" t="str">
        <f>IF(L381&lt;&gt;"EXCLUDE","",IF(G381="No","Wrong domain (non-AECO)",IF(H381="No","Digital Twin not core / buzzword",IF(I381="No","No Design for Safety/Quality/PtD",IF(J381="No","Wrong publication type",IF(K381="No","Non-English",""))))))</f>
        <v/>
      </c>
      <c r="N381" s="12"/>
      <c r="O381" s="12"/>
      <c r="P381" s="13"/>
      <c r="Q381" s="13"/>
      <c r="R381" s="13"/>
      <c r="S381" s="11" t="str">
        <f>IF(N381&lt;&gt;"Yes","",IF(COUNTBLANK(P381:R381)=3,"",IF(COUNTIF(P381:R381,"No")&gt;0,"EXCLUDE","INCLUDE")))</f>
        <v/>
      </c>
      <c r="T381" s="11" t="str">
        <f>IF(S381&lt;&gt;"EXCLUDE","",IF(P381="No","Digital Twin mentioned only, not the subject",IF(Q381="No","No Design for Safety/Quality in full text",IF(R381="No","Methodology not codable",""))))</f>
        <v/>
      </c>
      <c r="U381" s="14"/>
      <c r="V381" s="14"/>
      <c r="W381" s="14"/>
      <c r="X381" s="14"/>
      <c r="Y381" s="11" t="str">
        <f>IF(SUM(V381:X381)=0,"",IF(SUM(V381:X381)&gt;=2,"Multi","Single"))</f>
        <v/>
      </c>
      <c r="Z381" s="14"/>
      <c r="AA381" s="14"/>
      <c r="AB381" s="14"/>
      <c r="AC381" s="14"/>
      <c r="AD381" s="14"/>
      <c r="AE381" s="14"/>
      <c r="AF381" s="14"/>
      <c r="AG381" s="15"/>
    </row>
    <row r="382" spans="1:33">
      <c r="A382" s="8" t="s">
        <v>506</v>
      </c>
      <c r="B382" s="9"/>
      <c r="C382" s="8"/>
      <c r="D382" s="9"/>
      <c r="E382" s="9"/>
      <c r="F382" s="8"/>
      <c r="G382" s="10"/>
      <c r="H382" s="10"/>
      <c r="I382" s="10"/>
      <c r="J382" s="10"/>
      <c r="K382" s="10"/>
      <c r="L382" s="11" t="str">
        <f>IF(COUNTBLANK(G382:K382)=5,"",IF(COUNTIF(G382:K382,"No")&gt;0,"EXCLUDE","INCLUDE"))</f>
        <v/>
      </c>
      <c r="M382" s="11" t="str">
        <f>IF(L382&lt;&gt;"EXCLUDE","",IF(G382="No","Wrong domain (non-AECO)",IF(H382="No","Digital Twin not core / buzzword",IF(I382="No","No Design for Safety/Quality/PtD",IF(J382="No","Wrong publication type",IF(K382="No","Non-English",""))))))</f>
        <v/>
      </c>
      <c r="N382" s="12"/>
      <c r="O382" s="12"/>
      <c r="P382" s="13"/>
      <c r="Q382" s="13"/>
      <c r="R382" s="13"/>
      <c r="S382" s="11" t="str">
        <f>IF(N382&lt;&gt;"Yes","",IF(COUNTBLANK(P382:R382)=3,"",IF(COUNTIF(P382:R382,"No")&gt;0,"EXCLUDE","INCLUDE")))</f>
        <v/>
      </c>
      <c r="T382" s="11" t="str">
        <f>IF(S382&lt;&gt;"EXCLUDE","",IF(P382="No","Digital Twin mentioned only, not the subject",IF(Q382="No","No Design for Safety/Quality in full text",IF(R382="No","Methodology not codable",""))))</f>
        <v/>
      </c>
      <c r="U382" s="14"/>
      <c r="V382" s="14"/>
      <c r="W382" s="14"/>
      <c r="X382" s="14"/>
      <c r="Y382" s="11" t="str">
        <f>IF(SUM(V382:X382)=0,"",IF(SUM(V382:X382)&gt;=2,"Multi","Single"))</f>
        <v/>
      </c>
      <c r="Z382" s="14"/>
      <c r="AA382" s="14"/>
      <c r="AB382" s="14"/>
      <c r="AC382" s="14"/>
      <c r="AD382" s="14"/>
      <c r="AE382" s="14"/>
      <c r="AF382" s="14"/>
      <c r="AG382" s="15"/>
    </row>
    <row r="383" spans="1:33">
      <c r="A383" s="8" t="s">
        <v>507</v>
      </c>
      <c r="B383" s="9"/>
      <c r="C383" s="8"/>
      <c r="D383" s="9"/>
      <c r="E383" s="9"/>
      <c r="F383" s="8"/>
      <c r="G383" s="10"/>
      <c r="H383" s="10"/>
      <c r="I383" s="10"/>
      <c r="J383" s="10"/>
      <c r="K383" s="10"/>
      <c r="L383" s="11" t="str">
        <f>IF(COUNTBLANK(G383:K383)=5,"",IF(COUNTIF(G383:K383,"No")&gt;0,"EXCLUDE","INCLUDE"))</f>
        <v/>
      </c>
      <c r="M383" s="11" t="str">
        <f>IF(L383&lt;&gt;"EXCLUDE","",IF(G383="No","Wrong domain (non-AECO)",IF(H383="No","Digital Twin not core / buzzword",IF(I383="No","No Design for Safety/Quality/PtD",IF(J383="No","Wrong publication type",IF(K383="No","Non-English",""))))))</f>
        <v/>
      </c>
      <c r="N383" s="12"/>
      <c r="O383" s="12"/>
      <c r="P383" s="13"/>
      <c r="Q383" s="13"/>
      <c r="R383" s="13"/>
      <c r="S383" s="11" t="str">
        <f>IF(N383&lt;&gt;"Yes","",IF(COUNTBLANK(P383:R383)=3,"",IF(COUNTIF(P383:R383,"No")&gt;0,"EXCLUDE","INCLUDE")))</f>
        <v/>
      </c>
      <c r="T383" s="11" t="str">
        <f>IF(S383&lt;&gt;"EXCLUDE","",IF(P383="No","Digital Twin mentioned only, not the subject",IF(Q383="No","No Design for Safety/Quality in full text",IF(R383="No","Methodology not codable",""))))</f>
        <v/>
      </c>
      <c r="U383" s="14"/>
      <c r="V383" s="14"/>
      <c r="W383" s="14"/>
      <c r="X383" s="14"/>
      <c r="Y383" s="11" t="str">
        <f>IF(SUM(V383:X383)=0,"",IF(SUM(V383:X383)&gt;=2,"Multi","Single"))</f>
        <v/>
      </c>
      <c r="Z383" s="14"/>
      <c r="AA383" s="14"/>
      <c r="AB383" s="14"/>
      <c r="AC383" s="14"/>
      <c r="AD383" s="14"/>
      <c r="AE383" s="14"/>
      <c r="AF383" s="14"/>
      <c r="AG383" s="15"/>
    </row>
    <row r="384" spans="1:33">
      <c r="A384" s="8" t="s">
        <v>508</v>
      </c>
      <c r="B384" s="9"/>
      <c r="C384" s="8"/>
      <c r="D384" s="9"/>
      <c r="E384" s="9"/>
      <c r="F384" s="8"/>
      <c r="G384" s="10"/>
      <c r="H384" s="10"/>
      <c r="I384" s="10"/>
      <c r="J384" s="10"/>
      <c r="K384" s="10"/>
      <c r="L384" s="11" t="str">
        <f>IF(COUNTBLANK(G384:K384)=5,"",IF(COUNTIF(G384:K384,"No")&gt;0,"EXCLUDE","INCLUDE"))</f>
        <v/>
      </c>
      <c r="M384" s="11" t="str">
        <f>IF(L384&lt;&gt;"EXCLUDE","",IF(G384="No","Wrong domain (non-AECO)",IF(H384="No","Digital Twin not core / buzzword",IF(I384="No","No Design for Safety/Quality/PtD",IF(J384="No","Wrong publication type",IF(K384="No","Non-English",""))))))</f>
        <v/>
      </c>
      <c r="N384" s="12"/>
      <c r="O384" s="12"/>
      <c r="P384" s="13"/>
      <c r="Q384" s="13"/>
      <c r="R384" s="13"/>
      <c r="S384" s="11" t="str">
        <f>IF(N384&lt;&gt;"Yes","",IF(COUNTBLANK(P384:R384)=3,"",IF(COUNTIF(P384:R384,"No")&gt;0,"EXCLUDE","INCLUDE")))</f>
        <v/>
      </c>
      <c r="T384" s="11" t="str">
        <f>IF(S384&lt;&gt;"EXCLUDE","",IF(P384="No","Digital Twin mentioned only, not the subject",IF(Q384="No","No Design for Safety/Quality in full text",IF(R384="No","Methodology not codable",""))))</f>
        <v/>
      </c>
      <c r="U384" s="14"/>
      <c r="V384" s="14"/>
      <c r="W384" s="14"/>
      <c r="X384" s="14"/>
      <c r="Y384" s="11" t="str">
        <f>IF(SUM(V384:X384)=0,"",IF(SUM(V384:X384)&gt;=2,"Multi","Single"))</f>
        <v/>
      </c>
      <c r="Z384" s="14"/>
      <c r="AA384" s="14"/>
      <c r="AB384" s="14"/>
      <c r="AC384" s="14"/>
      <c r="AD384" s="14"/>
      <c r="AE384" s="14"/>
      <c r="AF384" s="14"/>
      <c r="AG384" s="15"/>
    </row>
    <row r="385" spans="1:33">
      <c r="A385" s="8" t="s">
        <v>509</v>
      </c>
      <c r="B385" s="9"/>
      <c r="C385" s="8"/>
      <c r="D385" s="9"/>
      <c r="E385" s="9"/>
      <c r="F385" s="8"/>
      <c r="G385" s="10"/>
      <c r="H385" s="10"/>
      <c r="I385" s="10"/>
      <c r="J385" s="10"/>
      <c r="K385" s="10"/>
      <c r="L385" s="11" t="str">
        <f>IF(COUNTBLANK(G385:K385)=5,"",IF(COUNTIF(G385:K385,"No")&gt;0,"EXCLUDE","INCLUDE"))</f>
        <v/>
      </c>
      <c r="M385" s="11" t="str">
        <f>IF(L385&lt;&gt;"EXCLUDE","",IF(G385="No","Wrong domain (non-AECO)",IF(H385="No","Digital Twin not core / buzzword",IF(I385="No","No Design for Safety/Quality/PtD",IF(J385="No","Wrong publication type",IF(K385="No","Non-English",""))))))</f>
        <v/>
      </c>
      <c r="N385" s="12"/>
      <c r="O385" s="12"/>
      <c r="P385" s="13"/>
      <c r="Q385" s="13"/>
      <c r="R385" s="13"/>
      <c r="S385" s="11" t="str">
        <f>IF(N385&lt;&gt;"Yes","",IF(COUNTBLANK(P385:R385)=3,"",IF(COUNTIF(P385:R385,"No")&gt;0,"EXCLUDE","INCLUDE")))</f>
        <v/>
      </c>
      <c r="T385" s="11" t="str">
        <f>IF(S385&lt;&gt;"EXCLUDE","",IF(P385="No","Digital Twin mentioned only, not the subject",IF(Q385="No","No Design for Safety/Quality in full text",IF(R385="No","Methodology not codable",""))))</f>
        <v/>
      </c>
      <c r="U385" s="14"/>
      <c r="V385" s="14"/>
      <c r="W385" s="14"/>
      <c r="X385" s="14"/>
      <c r="Y385" s="11" t="str">
        <f>IF(SUM(V385:X385)=0,"",IF(SUM(V385:X385)&gt;=2,"Multi","Single"))</f>
        <v/>
      </c>
      <c r="Z385" s="14"/>
      <c r="AA385" s="14"/>
      <c r="AB385" s="14"/>
      <c r="AC385" s="14"/>
      <c r="AD385" s="14"/>
      <c r="AE385" s="14"/>
      <c r="AF385" s="14"/>
      <c r="AG385" s="15"/>
    </row>
    <row r="386" spans="1:33">
      <c r="A386" s="8" t="s">
        <v>510</v>
      </c>
      <c r="B386" s="9"/>
      <c r="C386" s="8"/>
      <c r="D386" s="9"/>
      <c r="E386" s="9"/>
      <c r="F386" s="8"/>
      <c r="G386" s="10"/>
      <c r="H386" s="10"/>
      <c r="I386" s="10"/>
      <c r="J386" s="10"/>
      <c r="K386" s="10"/>
      <c r="L386" s="11" t="str">
        <f>IF(COUNTBLANK(G386:K386)=5,"",IF(COUNTIF(G386:K386,"No")&gt;0,"EXCLUDE","INCLUDE"))</f>
        <v/>
      </c>
      <c r="M386" s="11" t="str">
        <f>IF(L386&lt;&gt;"EXCLUDE","",IF(G386="No","Wrong domain (non-AECO)",IF(H386="No","Digital Twin not core / buzzword",IF(I386="No","No Design for Safety/Quality/PtD",IF(J386="No","Wrong publication type",IF(K386="No","Non-English",""))))))</f>
        <v/>
      </c>
      <c r="N386" s="12"/>
      <c r="O386" s="12"/>
      <c r="P386" s="13"/>
      <c r="Q386" s="13"/>
      <c r="R386" s="13"/>
      <c r="S386" s="11" t="str">
        <f>IF(N386&lt;&gt;"Yes","",IF(COUNTBLANK(P386:R386)=3,"",IF(COUNTIF(P386:R386,"No")&gt;0,"EXCLUDE","INCLUDE")))</f>
        <v/>
      </c>
      <c r="T386" s="11" t="str">
        <f>IF(S386&lt;&gt;"EXCLUDE","",IF(P386="No","Digital Twin mentioned only, not the subject",IF(Q386="No","No Design for Safety/Quality in full text",IF(R386="No","Methodology not codable",""))))</f>
        <v/>
      </c>
      <c r="U386" s="14"/>
      <c r="V386" s="14"/>
      <c r="W386" s="14"/>
      <c r="X386" s="14"/>
      <c r="Y386" s="11" t="str">
        <f>IF(SUM(V386:X386)=0,"",IF(SUM(V386:X386)&gt;=2,"Multi","Single"))</f>
        <v/>
      </c>
      <c r="Z386" s="14"/>
      <c r="AA386" s="14"/>
      <c r="AB386" s="14"/>
      <c r="AC386" s="14"/>
      <c r="AD386" s="14"/>
      <c r="AE386" s="14"/>
      <c r="AF386" s="14"/>
      <c r="AG386" s="15"/>
    </row>
    <row r="387" spans="1:33">
      <c r="A387" s="8" t="s">
        <v>511</v>
      </c>
      <c r="B387" s="9"/>
      <c r="C387" s="8"/>
      <c r="D387" s="9"/>
      <c r="E387" s="9"/>
      <c r="F387" s="8"/>
      <c r="G387" s="10"/>
      <c r="H387" s="10"/>
      <c r="I387" s="10"/>
      <c r="J387" s="10"/>
      <c r="K387" s="10"/>
      <c r="L387" s="11" t="str">
        <f>IF(COUNTBLANK(G387:K387)=5,"",IF(COUNTIF(G387:K387,"No")&gt;0,"EXCLUDE","INCLUDE"))</f>
        <v/>
      </c>
      <c r="M387" s="11" t="str">
        <f>IF(L387&lt;&gt;"EXCLUDE","",IF(G387="No","Wrong domain (non-AECO)",IF(H387="No","Digital Twin not core / buzzword",IF(I387="No","No Design for Safety/Quality/PtD",IF(J387="No","Wrong publication type",IF(K387="No","Non-English",""))))))</f>
        <v/>
      </c>
      <c r="N387" s="12"/>
      <c r="O387" s="12"/>
      <c r="P387" s="13"/>
      <c r="Q387" s="13"/>
      <c r="R387" s="13"/>
      <c r="S387" s="11" t="str">
        <f>IF(N387&lt;&gt;"Yes","",IF(COUNTBLANK(P387:R387)=3,"",IF(COUNTIF(P387:R387,"No")&gt;0,"EXCLUDE","INCLUDE")))</f>
        <v/>
      </c>
      <c r="T387" s="11" t="str">
        <f>IF(S387&lt;&gt;"EXCLUDE","",IF(P387="No","Digital Twin mentioned only, not the subject",IF(Q387="No","No Design for Safety/Quality in full text",IF(R387="No","Methodology not codable",""))))</f>
        <v/>
      </c>
      <c r="U387" s="14"/>
      <c r="V387" s="14"/>
      <c r="W387" s="14"/>
      <c r="X387" s="14"/>
      <c r="Y387" s="11" t="str">
        <f>IF(SUM(V387:X387)=0,"",IF(SUM(V387:X387)&gt;=2,"Multi","Single"))</f>
        <v/>
      </c>
      <c r="Z387" s="14"/>
      <c r="AA387" s="14"/>
      <c r="AB387" s="14"/>
      <c r="AC387" s="14"/>
      <c r="AD387" s="14"/>
      <c r="AE387" s="14"/>
      <c r="AF387" s="14"/>
      <c r="AG387" s="15"/>
    </row>
    <row r="388" spans="1:33">
      <c r="A388" s="8" t="s">
        <v>512</v>
      </c>
      <c r="B388" s="9"/>
      <c r="C388" s="8"/>
      <c r="D388" s="9"/>
      <c r="E388" s="9"/>
      <c r="F388" s="8"/>
      <c r="G388" s="10"/>
      <c r="H388" s="10"/>
      <c r="I388" s="10"/>
      <c r="J388" s="10"/>
      <c r="K388" s="10"/>
      <c r="L388" s="11" t="str">
        <f>IF(COUNTBLANK(G388:K388)=5,"",IF(COUNTIF(G388:K388,"No")&gt;0,"EXCLUDE","INCLUDE"))</f>
        <v/>
      </c>
      <c r="M388" s="11" t="str">
        <f>IF(L388&lt;&gt;"EXCLUDE","",IF(G388="No","Wrong domain (non-AECO)",IF(H388="No","Digital Twin not core / buzzword",IF(I388="No","No Design for Safety/Quality/PtD",IF(J388="No","Wrong publication type",IF(K388="No","Non-English",""))))))</f>
        <v/>
      </c>
      <c r="N388" s="12"/>
      <c r="O388" s="12"/>
      <c r="P388" s="13"/>
      <c r="Q388" s="13"/>
      <c r="R388" s="13"/>
      <c r="S388" s="11" t="str">
        <f>IF(N388&lt;&gt;"Yes","",IF(COUNTBLANK(P388:R388)=3,"",IF(COUNTIF(P388:R388,"No")&gt;0,"EXCLUDE","INCLUDE")))</f>
        <v/>
      </c>
      <c r="T388" s="11" t="str">
        <f>IF(S388&lt;&gt;"EXCLUDE","",IF(P388="No","Digital Twin mentioned only, not the subject",IF(Q388="No","No Design for Safety/Quality in full text",IF(R388="No","Methodology not codable",""))))</f>
        <v/>
      </c>
      <c r="U388" s="14"/>
      <c r="V388" s="14"/>
      <c r="W388" s="14"/>
      <c r="X388" s="14"/>
      <c r="Y388" s="11" t="str">
        <f>IF(SUM(V388:X388)=0,"",IF(SUM(V388:X388)&gt;=2,"Multi","Single"))</f>
        <v/>
      </c>
      <c r="Z388" s="14"/>
      <c r="AA388" s="14"/>
      <c r="AB388" s="14"/>
      <c r="AC388" s="14"/>
      <c r="AD388" s="14"/>
      <c r="AE388" s="14"/>
      <c r="AF388" s="14"/>
      <c r="AG388" s="15"/>
    </row>
    <row r="389" spans="1:33">
      <c r="A389" s="8" t="s">
        <v>513</v>
      </c>
      <c r="B389" s="9"/>
      <c r="C389" s="8"/>
      <c r="D389" s="9"/>
      <c r="E389" s="9"/>
      <c r="F389" s="8"/>
      <c r="G389" s="10"/>
      <c r="H389" s="10"/>
      <c r="I389" s="10"/>
      <c r="J389" s="10"/>
      <c r="K389" s="10"/>
      <c r="L389" s="11" t="str">
        <f>IF(COUNTBLANK(G389:K389)=5,"",IF(COUNTIF(G389:K389,"No")&gt;0,"EXCLUDE","INCLUDE"))</f>
        <v/>
      </c>
      <c r="M389" s="11" t="str">
        <f>IF(L389&lt;&gt;"EXCLUDE","",IF(G389="No","Wrong domain (non-AECO)",IF(H389="No","Digital Twin not core / buzzword",IF(I389="No","No Design for Safety/Quality/PtD",IF(J389="No","Wrong publication type",IF(K389="No","Non-English",""))))))</f>
        <v/>
      </c>
      <c r="N389" s="12"/>
      <c r="O389" s="12"/>
      <c r="P389" s="13"/>
      <c r="Q389" s="13"/>
      <c r="R389" s="13"/>
      <c r="S389" s="11" t="str">
        <f>IF(N389&lt;&gt;"Yes","",IF(COUNTBLANK(P389:R389)=3,"",IF(COUNTIF(P389:R389,"No")&gt;0,"EXCLUDE","INCLUDE")))</f>
        <v/>
      </c>
      <c r="T389" s="11" t="str">
        <f>IF(S389&lt;&gt;"EXCLUDE","",IF(P389="No","Digital Twin mentioned only, not the subject",IF(Q389="No","No Design for Safety/Quality in full text",IF(R389="No","Methodology not codable",""))))</f>
        <v/>
      </c>
      <c r="U389" s="14"/>
      <c r="V389" s="14"/>
      <c r="W389" s="14"/>
      <c r="X389" s="14"/>
      <c r="Y389" s="11" t="str">
        <f>IF(SUM(V389:X389)=0,"",IF(SUM(V389:X389)&gt;=2,"Multi","Single"))</f>
        <v/>
      </c>
      <c r="Z389" s="14"/>
      <c r="AA389" s="14"/>
      <c r="AB389" s="14"/>
      <c r="AC389" s="14"/>
      <c r="AD389" s="14"/>
      <c r="AE389" s="14"/>
      <c r="AF389" s="14"/>
      <c r="AG389" s="15"/>
    </row>
    <row r="390" spans="1:33">
      <c r="A390" s="8" t="s">
        <v>514</v>
      </c>
      <c r="B390" s="9"/>
      <c r="C390" s="8"/>
      <c r="D390" s="9"/>
      <c r="E390" s="9"/>
      <c r="F390" s="8"/>
      <c r="G390" s="10"/>
      <c r="H390" s="10"/>
      <c r="I390" s="10"/>
      <c r="J390" s="10"/>
      <c r="K390" s="10"/>
      <c r="L390" s="11" t="str">
        <f>IF(COUNTBLANK(G390:K390)=5,"",IF(COUNTIF(G390:K390,"No")&gt;0,"EXCLUDE","INCLUDE"))</f>
        <v/>
      </c>
      <c r="M390" s="11" t="str">
        <f>IF(L390&lt;&gt;"EXCLUDE","",IF(G390="No","Wrong domain (non-AECO)",IF(H390="No","Digital Twin not core / buzzword",IF(I390="No","No Design for Safety/Quality/PtD",IF(J390="No","Wrong publication type",IF(K390="No","Non-English",""))))))</f>
        <v/>
      </c>
      <c r="N390" s="12"/>
      <c r="O390" s="12"/>
      <c r="P390" s="13"/>
      <c r="Q390" s="13"/>
      <c r="R390" s="13"/>
      <c r="S390" s="11" t="str">
        <f>IF(N390&lt;&gt;"Yes","",IF(COUNTBLANK(P390:R390)=3,"",IF(COUNTIF(P390:R390,"No")&gt;0,"EXCLUDE","INCLUDE")))</f>
        <v/>
      </c>
      <c r="T390" s="11" t="str">
        <f>IF(S390&lt;&gt;"EXCLUDE","",IF(P390="No","Digital Twin mentioned only, not the subject",IF(Q390="No","No Design for Safety/Quality in full text",IF(R390="No","Methodology not codable",""))))</f>
        <v/>
      </c>
      <c r="U390" s="14"/>
      <c r="V390" s="14"/>
      <c r="W390" s="14"/>
      <c r="X390" s="14"/>
      <c r="Y390" s="11" t="str">
        <f>IF(SUM(V390:X390)=0,"",IF(SUM(V390:X390)&gt;=2,"Multi","Single"))</f>
        <v/>
      </c>
      <c r="Z390" s="14"/>
      <c r="AA390" s="14"/>
      <c r="AB390" s="14"/>
      <c r="AC390" s="14"/>
      <c r="AD390" s="14"/>
      <c r="AE390" s="14"/>
      <c r="AF390" s="14"/>
      <c r="AG390" s="15"/>
    </row>
    <row r="391" spans="1:33">
      <c r="A391" s="8" t="s">
        <v>515</v>
      </c>
      <c r="B391" s="9"/>
      <c r="C391" s="8"/>
      <c r="D391" s="9"/>
      <c r="E391" s="9"/>
      <c r="F391" s="8"/>
      <c r="G391" s="10"/>
      <c r="H391" s="10"/>
      <c r="I391" s="10"/>
      <c r="J391" s="10"/>
      <c r="K391" s="10"/>
      <c r="L391" s="11" t="str">
        <f>IF(COUNTBLANK(G391:K391)=5,"",IF(COUNTIF(G391:K391,"No")&gt;0,"EXCLUDE","INCLUDE"))</f>
        <v/>
      </c>
      <c r="M391" s="11" t="str">
        <f>IF(L391&lt;&gt;"EXCLUDE","",IF(G391="No","Wrong domain (non-AECO)",IF(H391="No","Digital Twin not core / buzzword",IF(I391="No","No Design for Safety/Quality/PtD",IF(J391="No","Wrong publication type",IF(K391="No","Non-English",""))))))</f>
        <v/>
      </c>
      <c r="N391" s="12"/>
      <c r="O391" s="12"/>
      <c r="P391" s="13"/>
      <c r="Q391" s="13"/>
      <c r="R391" s="13"/>
      <c r="S391" s="11" t="str">
        <f>IF(N391&lt;&gt;"Yes","",IF(COUNTBLANK(P391:R391)=3,"",IF(COUNTIF(P391:R391,"No")&gt;0,"EXCLUDE","INCLUDE")))</f>
        <v/>
      </c>
      <c r="T391" s="11" t="str">
        <f>IF(S391&lt;&gt;"EXCLUDE","",IF(P391="No","Digital Twin mentioned only, not the subject",IF(Q391="No","No Design for Safety/Quality in full text",IF(R391="No","Methodology not codable",""))))</f>
        <v/>
      </c>
      <c r="U391" s="14"/>
      <c r="V391" s="14"/>
      <c r="W391" s="14"/>
      <c r="X391" s="14"/>
      <c r="Y391" s="11" t="str">
        <f>IF(SUM(V391:X391)=0,"",IF(SUM(V391:X391)&gt;=2,"Multi","Single"))</f>
        <v/>
      </c>
      <c r="Z391" s="14"/>
      <c r="AA391" s="14"/>
      <c r="AB391" s="14"/>
      <c r="AC391" s="14"/>
      <c r="AD391" s="14"/>
      <c r="AE391" s="14"/>
      <c r="AF391" s="14"/>
      <c r="AG391" s="15"/>
    </row>
    <row r="392" spans="1:33">
      <c r="A392" s="8" t="s">
        <v>516</v>
      </c>
      <c r="B392" s="9"/>
      <c r="C392" s="8"/>
      <c r="D392" s="9"/>
      <c r="E392" s="9"/>
      <c r="F392" s="8"/>
      <c r="G392" s="10"/>
      <c r="H392" s="10"/>
      <c r="I392" s="10"/>
      <c r="J392" s="10"/>
      <c r="K392" s="10"/>
      <c r="L392" s="11" t="str">
        <f>IF(COUNTBLANK(G392:K392)=5,"",IF(COUNTIF(G392:K392,"No")&gt;0,"EXCLUDE","INCLUDE"))</f>
        <v/>
      </c>
      <c r="M392" s="11" t="str">
        <f>IF(L392&lt;&gt;"EXCLUDE","",IF(G392="No","Wrong domain (non-AECO)",IF(H392="No","Digital Twin not core / buzzword",IF(I392="No","No Design for Safety/Quality/PtD",IF(J392="No","Wrong publication type",IF(K392="No","Non-English",""))))))</f>
        <v/>
      </c>
      <c r="N392" s="12"/>
      <c r="O392" s="12"/>
      <c r="P392" s="13"/>
      <c r="Q392" s="13"/>
      <c r="R392" s="13"/>
      <c r="S392" s="11" t="str">
        <f>IF(N392&lt;&gt;"Yes","",IF(COUNTBLANK(P392:R392)=3,"",IF(COUNTIF(P392:R392,"No")&gt;0,"EXCLUDE","INCLUDE")))</f>
        <v/>
      </c>
      <c r="T392" s="11" t="str">
        <f>IF(S392&lt;&gt;"EXCLUDE","",IF(P392="No","Digital Twin mentioned only, not the subject",IF(Q392="No","No Design for Safety/Quality in full text",IF(R392="No","Methodology not codable",""))))</f>
        <v/>
      </c>
      <c r="U392" s="14"/>
      <c r="V392" s="14"/>
      <c r="W392" s="14"/>
      <c r="X392" s="14"/>
      <c r="Y392" s="11" t="str">
        <f>IF(SUM(V392:X392)=0,"",IF(SUM(V392:X392)&gt;=2,"Multi","Single"))</f>
        <v/>
      </c>
      <c r="Z392" s="14"/>
      <c r="AA392" s="14"/>
      <c r="AB392" s="14"/>
      <c r="AC392" s="14"/>
      <c r="AD392" s="14"/>
      <c r="AE392" s="14"/>
      <c r="AF392" s="14"/>
      <c r="AG392" s="15"/>
    </row>
    <row r="393" spans="1:33">
      <c r="A393" s="8" t="s">
        <v>517</v>
      </c>
      <c r="B393" s="9"/>
      <c r="C393" s="8"/>
      <c r="D393" s="9"/>
      <c r="E393" s="9"/>
      <c r="F393" s="8"/>
      <c r="G393" s="10"/>
      <c r="H393" s="10"/>
      <c r="I393" s="10"/>
      <c r="J393" s="10"/>
      <c r="K393" s="10"/>
      <c r="L393" s="11" t="str">
        <f>IF(COUNTBLANK(G393:K393)=5,"",IF(COUNTIF(G393:K393,"No")&gt;0,"EXCLUDE","INCLUDE"))</f>
        <v/>
      </c>
      <c r="M393" s="11" t="str">
        <f>IF(L393&lt;&gt;"EXCLUDE","",IF(G393="No","Wrong domain (non-AECO)",IF(H393="No","Digital Twin not core / buzzword",IF(I393="No","No Design for Safety/Quality/PtD",IF(J393="No","Wrong publication type",IF(K393="No","Non-English",""))))))</f>
        <v/>
      </c>
      <c r="N393" s="12"/>
      <c r="O393" s="12"/>
      <c r="P393" s="13"/>
      <c r="Q393" s="13"/>
      <c r="R393" s="13"/>
      <c r="S393" s="11" t="str">
        <f>IF(N393&lt;&gt;"Yes","",IF(COUNTBLANK(P393:R393)=3,"",IF(COUNTIF(P393:R393,"No")&gt;0,"EXCLUDE","INCLUDE")))</f>
        <v/>
      </c>
      <c r="T393" s="11" t="str">
        <f>IF(S393&lt;&gt;"EXCLUDE","",IF(P393="No","Digital Twin mentioned only, not the subject",IF(Q393="No","No Design for Safety/Quality in full text",IF(R393="No","Methodology not codable",""))))</f>
        <v/>
      </c>
      <c r="U393" s="14"/>
      <c r="V393" s="14"/>
      <c r="W393" s="14"/>
      <c r="X393" s="14"/>
      <c r="Y393" s="11" t="str">
        <f>IF(SUM(V393:X393)=0,"",IF(SUM(V393:X393)&gt;=2,"Multi","Single"))</f>
        <v/>
      </c>
      <c r="Z393" s="14"/>
      <c r="AA393" s="14"/>
      <c r="AB393" s="14"/>
      <c r="AC393" s="14"/>
      <c r="AD393" s="14"/>
      <c r="AE393" s="14"/>
      <c r="AF393" s="14"/>
      <c r="AG393" s="15"/>
    </row>
    <row r="394" spans="1:33">
      <c r="A394" s="8" t="s">
        <v>518</v>
      </c>
      <c r="B394" s="9"/>
      <c r="C394" s="8"/>
      <c r="D394" s="9"/>
      <c r="E394" s="9"/>
      <c r="F394" s="8"/>
      <c r="G394" s="10"/>
      <c r="H394" s="10"/>
      <c r="I394" s="10"/>
      <c r="J394" s="10"/>
      <c r="K394" s="10"/>
      <c r="L394" s="11" t="str">
        <f>IF(COUNTBLANK(G394:K394)=5,"",IF(COUNTIF(G394:K394,"No")&gt;0,"EXCLUDE","INCLUDE"))</f>
        <v/>
      </c>
      <c r="M394" s="11" t="str">
        <f>IF(L394&lt;&gt;"EXCLUDE","",IF(G394="No","Wrong domain (non-AECO)",IF(H394="No","Digital Twin not core / buzzword",IF(I394="No","No Design for Safety/Quality/PtD",IF(J394="No","Wrong publication type",IF(K394="No","Non-English",""))))))</f>
        <v/>
      </c>
      <c r="N394" s="12"/>
      <c r="O394" s="12"/>
      <c r="P394" s="13"/>
      <c r="Q394" s="13"/>
      <c r="R394" s="13"/>
      <c r="S394" s="11" t="str">
        <f>IF(N394&lt;&gt;"Yes","",IF(COUNTBLANK(P394:R394)=3,"",IF(COUNTIF(P394:R394,"No")&gt;0,"EXCLUDE","INCLUDE")))</f>
        <v/>
      </c>
      <c r="T394" s="11" t="str">
        <f>IF(S394&lt;&gt;"EXCLUDE","",IF(P394="No","Digital Twin mentioned only, not the subject",IF(Q394="No","No Design for Safety/Quality in full text",IF(R394="No","Methodology not codable",""))))</f>
        <v/>
      </c>
      <c r="U394" s="14"/>
      <c r="V394" s="14"/>
      <c r="W394" s="14"/>
      <c r="X394" s="14"/>
      <c r="Y394" s="11" t="str">
        <f>IF(SUM(V394:X394)=0,"",IF(SUM(V394:X394)&gt;=2,"Multi","Single"))</f>
        <v/>
      </c>
      <c r="Z394" s="14"/>
      <c r="AA394" s="14"/>
      <c r="AB394" s="14"/>
      <c r="AC394" s="14"/>
      <c r="AD394" s="14"/>
      <c r="AE394" s="14"/>
      <c r="AF394" s="14"/>
      <c r="AG394" s="15"/>
    </row>
    <row r="395" spans="1:33">
      <c r="A395" s="8" t="s">
        <v>519</v>
      </c>
      <c r="B395" s="9"/>
      <c r="C395" s="8"/>
      <c r="D395" s="9"/>
      <c r="E395" s="9"/>
      <c r="F395" s="8"/>
      <c r="G395" s="10"/>
      <c r="H395" s="10"/>
      <c r="I395" s="10"/>
      <c r="J395" s="10"/>
      <c r="K395" s="10"/>
      <c r="L395" s="11" t="str">
        <f>IF(COUNTBLANK(G395:K395)=5,"",IF(COUNTIF(G395:K395,"No")&gt;0,"EXCLUDE","INCLUDE"))</f>
        <v/>
      </c>
      <c r="M395" s="11" t="str">
        <f>IF(L395&lt;&gt;"EXCLUDE","",IF(G395="No","Wrong domain (non-AECO)",IF(H395="No","Digital Twin not core / buzzword",IF(I395="No","No Design for Safety/Quality/PtD",IF(J395="No","Wrong publication type",IF(K395="No","Non-English",""))))))</f>
        <v/>
      </c>
      <c r="N395" s="12"/>
      <c r="O395" s="12"/>
      <c r="P395" s="13"/>
      <c r="Q395" s="13"/>
      <c r="R395" s="13"/>
      <c r="S395" s="11" t="str">
        <f>IF(N395&lt;&gt;"Yes","",IF(COUNTBLANK(P395:R395)=3,"",IF(COUNTIF(P395:R395,"No")&gt;0,"EXCLUDE","INCLUDE")))</f>
        <v/>
      </c>
      <c r="T395" s="11" t="str">
        <f>IF(S395&lt;&gt;"EXCLUDE","",IF(P395="No","Digital Twin mentioned only, not the subject",IF(Q395="No","No Design for Safety/Quality in full text",IF(R395="No","Methodology not codable",""))))</f>
        <v/>
      </c>
      <c r="U395" s="14"/>
      <c r="V395" s="14"/>
      <c r="W395" s="14"/>
      <c r="X395" s="14"/>
      <c r="Y395" s="11" t="str">
        <f>IF(SUM(V395:X395)=0,"",IF(SUM(V395:X395)&gt;=2,"Multi","Single"))</f>
        <v/>
      </c>
      <c r="Z395" s="14"/>
      <c r="AA395" s="14"/>
      <c r="AB395" s="14"/>
      <c r="AC395" s="14"/>
      <c r="AD395" s="14"/>
      <c r="AE395" s="14"/>
      <c r="AF395" s="14"/>
      <c r="AG395" s="15"/>
    </row>
    <row r="396" spans="1:33">
      <c r="A396" s="8" t="s">
        <v>520</v>
      </c>
      <c r="B396" s="9"/>
      <c r="C396" s="8"/>
      <c r="D396" s="9"/>
      <c r="E396" s="9"/>
      <c r="F396" s="8"/>
      <c r="G396" s="10"/>
      <c r="H396" s="10"/>
      <c r="I396" s="10"/>
      <c r="J396" s="10"/>
      <c r="K396" s="10"/>
      <c r="L396" s="11" t="str">
        <f>IF(COUNTBLANK(G396:K396)=5,"",IF(COUNTIF(G396:K396,"No")&gt;0,"EXCLUDE","INCLUDE"))</f>
        <v/>
      </c>
      <c r="M396" s="11" t="str">
        <f>IF(L396&lt;&gt;"EXCLUDE","",IF(G396="No","Wrong domain (non-AECO)",IF(H396="No","Digital Twin not core / buzzword",IF(I396="No","No Design for Safety/Quality/PtD",IF(J396="No","Wrong publication type",IF(K396="No","Non-English",""))))))</f>
        <v/>
      </c>
      <c r="N396" s="12"/>
      <c r="O396" s="12"/>
      <c r="P396" s="13"/>
      <c r="Q396" s="13"/>
      <c r="R396" s="13"/>
      <c r="S396" s="11" t="str">
        <f>IF(N396&lt;&gt;"Yes","",IF(COUNTBLANK(P396:R396)=3,"",IF(COUNTIF(P396:R396,"No")&gt;0,"EXCLUDE","INCLUDE")))</f>
        <v/>
      </c>
      <c r="T396" s="11" t="str">
        <f>IF(S396&lt;&gt;"EXCLUDE","",IF(P396="No","Digital Twin mentioned only, not the subject",IF(Q396="No","No Design for Safety/Quality in full text",IF(R396="No","Methodology not codable",""))))</f>
        <v/>
      </c>
      <c r="U396" s="14"/>
      <c r="V396" s="14"/>
      <c r="W396" s="14"/>
      <c r="X396" s="14"/>
      <c r="Y396" s="11" t="str">
        <f>IF(SUM(V396:X396)=0,"",IF(SUM(V396:X396)&gt;=2,"Multi","Single"))</f>
        <v/>
      </c>
      <c r="Z396" s="14"/>
      <c r="AA396" s="14"/>
      <c r="AB396" s="14"/>
      <c r="AC396" s="14"/>
      <c r="AD396" s="14"/>
      <c r="AE396" s="14"/>
      <c r="AF396" s="14"/>
      <c r="AG396" s="15"/>
    </row>
    <row r="397" spans="1:33">
      <c r="A397" s="8" t="s">
        <v>521</v>
      </c>
      <c r="B397" s="9"/>
      <c r="C397" s="8"/>
      <c r="D397" s="9"/>
      <c r="E397" s="9"/>
      <c r="F397" s="8"/>
      <c r="G397" s="10"/>
      <c r="H397" s="10"/>
      <c r="I397" s="10"/>
      <c r="J397" s="10"/>
      <c r="K397" s="10"/>
      <c r="L397" s="11" t="str">
        <f>IF(COUNTBLANK(G397:K397)=5,"",IF(COUNTIF(G397:K397,"No")&gt;0,"EXCLUDE","INCLUDE"))</f>
        <v/>
      </c>
      <c r="M397" s="11" t="str">
        <f>IF(L397&lt;&gt;"EXCLUDE","",IF(G397="No","Wrong domain (non-AECO)",IF(H397="No","Digital Twin not core / buzzword",IF(I397="No","No Design for Safety/Quality/PtD",IF(J397="No","Wrong publication type",IF(K397="No","Non-English",""))))))</f>
        <v/>
      </c>
      <c r="N397" s="12"/>
      <c r="O397" s="12"/>
      <c r="P397" s="13"/>
      <c r="Q397" s="13"/>
      <c r="R397" s="13"/>
      <c r="S397" s="11" t="str">
        <f>IF(N397&lt;&gt;"Yes","",IF(COUNTBLANK(P397:R397)=3,"",IF(COUNTIF(P397:R397,"No")&gt;0,"EXCLUDE","INCLUDE")))</f>
        <v/>
      </c>
      <c r="T397" s="11" t="str">
        <f>IF(S397&lt;&gt;"EXCLUDE","",IF(P397="No","Digital Twin mentioned only, not the subject",IF(Q397="No","No Design for Safety/Quality in full text",IF(R397="No","Methodology not codable",""))))</f>
        <v/>
      </c>
      <c r="U397" s="14"/>
      <c r="V397" s="14"/>
      <c r="W397" s="14"/>
      <c r="X397" s="14"/>
      <c r="Y397" s="11" t="str">
        <f>IF(SUM(V397:X397)=0,"",IF(SUM(V397:X397)&gt;=2,"Multi","Single"))</f>
        <v/>
      </c>
      <c r="Z397" s="14"/>
      <c r="AA397" s="14"/>
      <c r="AB397" s="14"/>
      <c r="AC397" s="14"/>
      <c r="AD397" s="14"/>
      <c r="AE397" s="14"/>
      <c r="AF397" s="14"/>
      <c r="AG397" s="15"/>
    </row>
    <row r="398" spans="1:33">
      <c r="A398" s="8" t="s">
        <v>522</v>
      </c>
      <c r="B398" s="9"/>
      <c r="C398" s="8"/>
      <c r="D398" s="9"/>
      <c r="E398" s="9"/>
      <c r="F398" s="8"/>
      <c r="G398" s="10"/>
      <c r="H398" s="10"/>
      <c r="I398" s="10"/>
      <c r="J398" s="10"/>
      <c r="K398" s="10"/>
      <c r="L398" s="11" t="str">
        <f>IF(COUNTBLANK(G398:K398)=5,"",IF(COUNTIF(G398:K398,"No")&gt;0,"EXCLUDE","INCLUDE"))</f>
        <v/>
      </c>
      <c r="M398" s="11" t="str">
        <f>IF(L398&lt;&gt;"EXCLUDE","",IF(G398="No","Wrong domain (non-AECO)",IF(H398="No","Digital Twin not core / buzzword",IF(I398="No","No Design for Safety/Quality/PtD",IF(J398="No","Wrong publication type",IF(K398="No","Non-English",""))))))</f>
        <v/>
      </c>
      <c r="N398" s="12"/>
      <c r="O398" s="12"/>
      <c r="P398" s="13"/>
      <c r="Q398" s="13"/>
      <c r="R398" s="13"/>
      <c r="S398" s="11" t="str">
        <f>IF(N398&lt;&gt;"Yes","",IF(COUNTBLANK(P398:R398)=3,"",IF(COUNTIF(P398:R398,"No")&gt;0,"EXCLUDE","INCLUDE")))</f>
        <v/>
      </c>
      <c r="T398" s="11" t="str">
        <f>IF(S398&lt;&gt;"EXCLUDE","",IF(P398="No","Digital Twin mentioned only, not the subject",IF(Q398="No","No Design for Safety/Quality in full text",IF(R398="No","Methodology not codable",""))))</f>
        <v/>
      </c>
      <c r="U398" s="14"/>
      <c r="V398" s="14"/>
      <c r="W398" s="14"/>
      <c r="X398" s="14"/>
      <c r="Y398" s="11" t="str">
        <f>IF(SUM(V398:X398)=0,"",IF(SUM(V398:X398)&gt;=2,"Multi","Single"))</f>
        <v/>
      </c>
      <c r="Z398" s="14"/>
      <c r="AA398" s="14"/>
      <c r="AB398" s="14"/>
      <c r="AC398" s="14"/>
      <c r="AD398" s="14"/>
      <c r="AE398" s="14"/>
      <c r="AF398" s="14"/>
      <c r="AG398" s="15"/>
    </row>
    <row r="399" spans="1:33">
      <c r="A399" s="8" t="s">
        <v>523</v>
      </c>
      <c r="B399" s="9"/>
      <c r="C399" s="8"/>
      <c r="D399" s="9"/>
      <c r="E399" s="9"/>
      <c r="F399" s="8"/>
      <c r="G399" s="10"/>
      <c r="H399" s="10"/>
      <c r="I399" s="10"/>
      <c r="J399" s="10"/>
      <c r="K399" s="10"/>
      <c r="L399" s="11" t="str">
        <f>IF(COUNTBLANK(G399:K399)=5,"",IF(COUNTIF(G399:K399,"No")&gt;0,"EXCLUDE","INCLUDE"))</f>
        <v/>
      </c>
      <c r="M399" s="11" t="str">
        <f>IF(L399&lt;&gt;"EXCLUDE","",IF(G399="No","Wrong domain (non-AECO)",IF(H399="No","Digital Twin not core / buzzword",IF(I399="No","No Design for Safety/Quality/PtD",IF(J399="No","Wrong publication type",IF(K399="No","Non-English",""))))))</f>
        <v/>
      </c>
      <c r="N399" s="12"/>
      <c r="O399" s="12"/>
      <c r="P399" s="13"/>
      <c r="Q399" s="13"/>
      <c r="R399" s="13"/>
      <c r="S399" s="11" t="str">
        <f>IF(N399&lt;&gt;"Yes","",IF(COUNTBLANK(P399:R399)=3,"",IF(COUNTIF(P399:R399,"No")&gt;0,"EXCLUDE","INCLUDE")))</f>
        <v/>
      </c>
      <c r="T399" s="11" t="str">
        <f>IF(S399&lt;&gt;"EXCLUDE","",IF(P399="No","Digital Twin mentioned only, not the subject",IF(Q399="No","No Design for Safety/Quality in full text",IF(R399="No","Methodology not codable",""))))</f>
        <v/>
      </c>
      <c r="U399" s="14"/>
      <c r="V399" s="14"/>
      <c r="W399" s="14"/>
      <c r="X399" s="14"/>
      <c r="Y399" s="11" t="str">
        <f>IF(SUM(V399:X399)=0,"",IF(SUM(V399:X399)&gt;=2,"Multi","Single"))</f>
        <v/>
      </c>
      <c r="Z399" s="14"/>
      <c r="AA399" s="14"/>
      <c r="AB399" s="14"/>
      <c r="AC399" s="14"/>
      <c r="AD399" s="14"/>
      <c r="AE399" s="14"/>
      <c r="AF399" s="14"/>
      <c r="AG399" s="15"/>
    </row>
    <row r="400" spans="1:33">
      <c r="A400" s="8" t="s">
        <v>524</v>
      </c>
      <c r="B400" s="9"/>
      <c r="C400" s="8"/>
      <c r="D400" s="9"/>
      <c r="E400" s="9"/>
      <c r="F400" s="8"/>
      <c r="G400" s="10"/>
      <c r="H400" s="10"/>
      <c r="I400" s="10"/>
      <c r="J400" s="10"/>
      <c r="K400" s="10"/>
      <c r="L400" s="11" t="str">
        <f>IF(COUNTBLANK(G400:K400)=5,"",IF(COUNTIF(G400:K400,"No")&gt;0,"EXCLUDE","INCLUDE"))</f>
        <v/>
      </c>
      <c r="M400" s="11" t="str">
        <f>IF(L400&lt;&gt;"EXCLUDE","",IF(G400="No","Wrong domain (non-AECO)",IF(H400="No","Digital Twin not core / buzzword",IF(I400="No","No Design for Safety/Quality/PtD",IF(J400="No","Wrong publication type",IF(K400="No","Non-English",""))))))</f>
        <v/>
      </c>
      <c r="N400" s="12"/>
      <c r="O400" s="12"/>
      <c r="P400" s="13"/>
      <c r="Q400" s="13"/>
      <c r="R400" s="13"/>
      <c r="S400" s="11" t="str">
        <f>IF(N400&lt;&gt;"Yes","",IF(COUNTBLANK(P400:R400)=3,"",IF(COUNTIF(P400:R400,"No")&gt;0,"EXCLUDE","INCLUDE")))</f>
        <v/>
      </c>
      <c r="T400" s="11" t="str">
        <f>IF(S400&lt;&gt;"EXCLUDE","",IF(P400="No","Digital Twin mentioned only, not the subject",IF(Q400="No","No Design for Safety/Quality in full text",IF(R400="No","Methodology not codable",""))))</f>
        <v/>
      </c>
      <c r="U400" s="14"/>
      <c r="V400" s="14"/>
      <c r="W400" s="14"/>
      <c r="X400" s="14"/>
      <c r="Y400" s="11" t="str">
        <f>IF(SUM(V400:X400)=0,"",IF(SUM(V400:X400)&gt;=2,"Multi","Single"))</f>
        <v/>
      </c>
      <c r="Z400" s="14"/>
      <c r="AA400" s="14"/>
      <c r="AB400" s="14"/>
      <c r="AC400" s="14"/>
      <c r="AD400" s="14"/>
      <c r="AE400" s="14"/>
      <c r="AF400" s="14"/>
      <c r="AG400" s="15"/>
    </row>
    <row r="401" spans="1:33">
      <c r="A401" s="8" t="s">
        <v>525</v>
      </c>
      <c r="B401" s="9"/>
      <c r="C401" s="8"/>
      <c r="D401" s="9"/>
      <c r="E401" s="9"/>
      <c r="F401" s="8"/>
      <c r="G401" s="10"/>
      <c r="H401" s="10"/>
      <c r="I401" s="10"/>
      <c r="J401" s="10"/>
      <c r="K401" s="10"/>
      <c r="L401" s="11" t="str">
        <f>IF(COUNTBLANK(G401:K401)=5,"",IF(COUNTIF(G401:K401,"No")&gt;0,"EXCLUDE","INCLUDE"))</f>
        <v/>
      </c>
      <c r="M401" s="11" t="str">
        <f>IF(L401&lt;&gt;"EXCLUDE","",IF(G401="No","Wrong domain (non-AECO)",IF(H401="No","Digital Twin not core / buzzword",IF(I401="No","No Design for Safety/Quality/PtD",IF(J401="No","Wrong publication type",IF(K401="No","Non-English",""))))))</f>
        <v/>
      </c>
      <c r="N401" s="12"/>
      <c r="O401" s="12"/>
      <c r="P401" s="13"/>
      <c r="Q401" s="13"/>
      <c r="R401" s="13"/>
      <c r="S401" s="11" t="str">
        <f>IF(N401&lt;&gt;"Yes","",IF(COUNTBLANK(P401:R401)=3,"",IF(COUNTIF(P401:R401,"No")&gt;0,"EXCLUDE","INCLUDE")))</f>
        <v/>
      </c>
      <c r="T401" s="11" t="str">
        <f>IF(S401&lt;&gt;"EXCLUDE","",IF(P401="No","Digital Twin mentioned only, not the subject",IF(Q401="No","No Design for Safety/Quality in full text",IF(R401="No","Methodology not codable",""))))</f>
        <v/>
      </c>
      <c r="U401" s="14"/>
      <c r="V401" s="14"/>
      <c r="W401" s="14"/>
      <c r="X401" s="14"/>
      <c r="Y401" s="11" t="str">
        <f>IF(SUM(V401:X401)=0,"",IF(SUM(V401:X401)&gt;=2,"Multi","Single"))</f>
        <v/>
      </c>
      <c r="Z401" s="14"/>
      <c r="AA401" s="14"/>
      <c r="AB401" s="14"/>
      <c r="AC401" s="14"/>
      <c r="AD401" s="14"/>
      <c r="AE401" s="14"/>
      <c r="AF401" s="14"/>
      <c r="AG401" s="15"/>
    </row>
    <row r="402" spans="1:33">
      <c r="A402" s="8" t="s">
        <v>526</v>
      </c>
      <c r="B402" s="9"/>
      <c r="C402" s="8"/>
      <c r="D402" s="9"/>
      <c r="E402" s="9"/>
      <c r="F402" s="8"/>
      <c r="G402" s="10"/>
      <c r="H402" s="10"/>
      <c r="I402" s="10"/>
      <c r="J402" s="10"/>
      <c r="K402" s="10"/>
      <c r="L402" s="11" t="str">
        <f>IF(COUNTBLANK(G402:K402)=5,"",IF(COUNTIF(G402:K402,"No")&gt;0,"EXCLUDE","INCLUDE"))</f>
        <v/>
      </c>
      <c r="M402" s="11" t="str">
        <f>IF(L402&lt;&gt;"EXCLUDE","",IF(G402="No","Wrong domain (non-AECO)",IF(H402="No","Digital Twin not core / buzzword",IF(I402="No","No Design for Safety/Quality/PtD",IF(J402="No","Wrong publication type",IF(K402="No","Non-English",""))))))</f>
        <v/>
      </c>
      <c r="N402" s="12"/>
      <c r="O402" s="12"/>
      <c r="P402" s="13"/>
      <c r="Q402" s="13"/>
      <c r="R402" s="13"/>
      <c r="S402" s="11" t="str">
        <f>IF(N402&lt;&gt;"Yes","",IF(COUNTBLANK(P402:R402)=3,"",IF(COUNTIF(P402:R402,"No")&gt;0,"EXCLUDE","INCLUDE")))</f>
        <v/>
      </c>
      <c r="T402" s="11" t="str">
        <f>IF(S402&lt;&gt;"EXCLUDE","",IF(P402="No","Digital Twin mentioned only, not the subject",IF(Q402="No","No Design for Safety/Quality in full text",IF(R402="No","Methodology not codable",""))))</f>
        <v/>
      </c>
      <c r="U402" s="14"/>
      <c r="V402" s="14"/>
      <c r="W402" s="14"/>
      <c r="X402" s="14"/>
      <c r="Y402" s="11" t="str">
        <f>IF(SUM(V402:X402)=0,"",IF(SUM(V402:X402)&gt;=2,"Multi","Single"))</f>
        <v/>
      </c>
      <c r="Z402" s="14"/>
      <c r="AA402" s="14"/>
      <c r="AB402" s="14"/>
      <c r="AC402" s="14"/>
      <c r="AD402" s="14"/>
      <c r="AE402" s="14"/>
      <c r="AF402" s="14"/>
      <c r="AG402" s="15"/>
    </row>
    <row r="403" spans="1:33">
      <c r="A403" s="8" t="s">
        <v>527</v>
      </c>
      <c r="B403" s="9"/>
      <c r="C403" s="8"/>
      <c r="D403" s="9"/>
      <c r="E403" s="9"/>
      <c r="F403" s="8"/>
      <c r="G403" s="10"/>
      <c r="H403" s="10"/>
      <c r="I403" s="10"/>
      <c r="J403" s="10"/>
      <c r="K403" s="10"/>
      <c r="L403" s="11" t="str">
        <f>IF(COUNTBLANK(G403:K403)=5,"",IF(COUNTIF(G403:K403,"No")&gt;0,"EXCLUDE","INCLUDE"))</f>
        <v/>
      </c>
      <c r="M403" s="11" t="str">
        <f>IF(L403&lt;&gt;"EXCLUDE","",IF(G403="No","Wrong domain (non-AECO)",IF(H403="No","Digital Twin not core / buzzword",IF(I403="No","No Design for Safety/Quality/PtD",IF(J403="No","Wrong publication type",IF(K403="No","Non-English",""))))))</f>
        <v/>
      </c>
      <c r="N403" s="12"/>
      <c r="O403" s="12"/>
      <c r="P403" s="13"/>
      <c r="Q403" s="13"/>
      <c r="R403" s="13"/>
      <c r="S403" s="11" t="str">
        <f>IF(N403&lt;&gt;"Yes","",IF(COUNTBLANK(P403:R403)=3,"",IF(COUNTIF(P403:R403,"No")&gt;0,"EXCLUDE","INCLUDE")))</f>
        <v/>
      </c>
      <c r="T403" s="11" t="str">
        <f>IF(S403&lt;&gt;"EXCLUDE","",IF(P403="No","Digital Twin mentioned only, not the subject",IF(Q403="No","No Design for Safety/Quality in full text",IF(R403="No","Methodology not codable",""))))</f>
        <v/>
      </c>
      <c r="U403" s="14"/>
      <c r="V403" s="14"/>
      <c r="W403" s="14"/>
      <c r="X403" s="14"/>
      <c r="Y403" s="11" t="str">
        <f>IF(SUM(V403:X403)=0,"",IF(SUM(V403:X403)&gt;=2,"Multi","Single"))</f>
        <v/>
      </c>
      <c r="Z403" s="14"/>
      <c r="AA403" s="14"/>
      <c r="AB403" s="14"/>
      <c r="AC403" s="14"/>
      <c r="AD403" s="14"/>
      <c r="AE403" s="14"/>
      <c r="AF403" s="14"/>
      <c r="AG403" s="15"/>
    </row>
    <row r="404" spans="1:33">
      <c r="A404" s="8" t="s">
        <v>528</v>
      </c>
      <c r="B404" s="9"/>
      <c r="C404" s="8"/>
      <c r="D404" s="9"/>
      <c r="E404" s="9"/>
      <c r="F404" s="8"/>
      <c r="G404" s="10"/>
      <c r="H404" s="10"/>
      <c r="I404" s="10"/>
      <c r="J404" s="10"/>
      <c r="K404" s="10"/>
      <c r="L404" s="11" t="str">
        <f>IF(COUNTBLANK(G404:K404)=5,"",IF(COUNTIF(G404:K404,"No")&gt;0,"EXCLUDE","INCLUDE"))</f>
        <v/>
      </c>
      <c r="M404" s="11" t="str">
        <f>IF(L404&lt;&gt;"EXCLUDE","",IF(G404="No","Wrong domain (non-AECO)",IF(H404="No","Digital Twin not core / buzzword",IF(I404="No","No Design for Safety/Quality/PtD",IF(J404="No","Wrong publication type",IF(K404="No","Non-English",""))))))</f>
        <v/>
      </c>
      <c r="N404" s="12"/>
      <c r="O404" s="12"/>
      <c r="P404" s="13"/>
      <c r="Q404" s="13"/>
      <c r="R404" s="13"/>
      <c r="S404" s="11" t="str">
        <f>IF(N404&lt;&gt;"Yes","",IF(COUNTBLANK(P404:R404)=3,"",IF(COUNTIF(P404:R404,"No")&gt;0,"EXCLUDE","INCLUDE")))</f>
        <v/>
      </c>
      <c r="T404" s="11" t="str">
        <f>IF(S404&lt;&gt;"EXCLUDE","",IF(P404="No","Digital Twin mentioned only, not the subject",IF(Q404="No","No Design for Safety/Quality in full text",IF(R404="No","Methodology not codable",""))))</f>
        <v/>
      </c>
      <c r="U404" s="14"/>
      <c r="V404" s="14"/>
      <c r="W404" s="14"/>
      <c r="X404" s="14"/>
      <c r="Y404" s="11" t="str">
        <f>IF(SUM(V404:X404)=0,"",IF(SUM(V404:X404)&gt;=2,"Multi","Single"))</f>
        <v/>
      </c>
      <c r="Z404" s="14"/>
      <c r="AA404" s="14"/>
      <c r="AB404" s="14"/>
      <c r="AC404" s="14"/>
      <c r="AD404" s="14"/>
      <c r="AE404" s="14"/>
      <c r="AF404" s="14"/>
      <c r="AG404" s="15"/>
    </row>
    <row r="405" spans="1:33">
      <c r="A405" s="8" t="s">
        <v>529</v>
      </c>
      <c r="B405" s="9"/>
      <c r="C405" s="8"/>
      <c r="D405" s="9"/>
      <c r="E405" s="9"/>
      <c r="F405" s="8"/>
      <c r="G405" s="10"/>
      <c r="H405" s="10"/>
      <c r="I405" s="10"/>
      <c r="J405" s="10"/>
      <c r="K405" s="10"/>
      <c r="L405" s="11" t="str">
        <f>IF(COUNTBLANK(G405:K405)=5,"",IF(COUNTIF(G405:K405,"No")&gt;0,"EXCLUDE","INCLUDE"))</f>
        <v/>
      </c>
      <c r="M405" s="11" t="str">
        <f>IF(L405&lt;&gt;"EXCLUDE","",IF(G405="No","Wrong domain (non-AECO)",IF(H405="No","Digital Twin not core / buzzword",IF(I405="No","No Design for Safety/Quality/PtD",IF(J405="No","Wrong publication type",IF(K405="No","Non-English",""))))))</f>
        <v/>
      </c>
      <c r="N405" s="12"/>
      <c r="O405" s="12"/>
      <c r="P405" s="13"/>
      <c r="Q405" s="13"/>
      <c r="R405" s="13"/>
      <c r="S405" s="11" t="str">
        <f>IF(N405&lt;&gt;"Yes","",IF(COUNTBLANK(P405:R405)=3,"",IF(COUNTIF(P405:R405,"No")&gt;0,"EXCLUDE","INCLUDE")))</f>
        <v/>
      </c>
      <c r="T405" s="11" t="str">
        <f>IF(S405&lt;&gt;"EXCLUDE","",IF(P405="No","Digital Twin mentioned only, not the subject",IF(Q405="No","No Design for Safety/Quality in full text",IF(R405="No","Methodology not codable",""))))</f>
        <v/>
      </c>
      <c r="U405" s="14"/>
      <c r="V405" s="14"/>
      <c r="W405" s="14"/>
      <c r="X405" s="14"/>
      <c r="Y405" s="11" t="str">
        <f>IF(SUM(V405:X405)=0,"",IF(SUM(V405:X405)&gt;=2,"Multi","Single"))</f>
        <v/>
      </c>
      <c r="Z405" s="14"/>
      <c r="AA405" s="14"/>
      <c r="AB405" s="14"/>
      <c r="AC405" s="14"/>
      <c r="AD405" s="14"/>
      <c r="AE405" s="14"/>
      <c r="AF405" s="14"/>
      <c r="AG405" s="15"/>
    </row>
    <row r="406" spans="1:33">
      <c r="A406" s="8" t="s">
        <v>530</v>
      </c>
      <c r="B406" s="9"/>
      <c r="C406" s="8"/>
      <c r="D406" s="9"/>
      <c r="E406" s="9"/>
      <c r="F406" s="8"/>
      <c r="G406" s="10"/>
      <c r="H406" s="10"/>
      <c r="I406" s="10"/>
      <c r="J406" s="10"/>
      <c r="K406" s="10"/>
      <c r="L406" s="11" t="str">
        <f>IF(COUNTBLANK(G406:K406)=5,"",IF(COUNTIF(G406:K406,"No")&gt;0,"EXCLUDE","INCLUDE"))</f>
        <v/>
      </c>
      <c r="M406" s="11" t="str">
        <f>IF(L406&lt;&gt;"EXCLUDE","",IF(G406="No","Wrong domain (non-AECO)",IF(H406="No","Digital Twin not core / buzzword",IF(I406="No","No Design for Safety/Quality/PtD",IF(J406="No","Wrong publication type",IF(K406="No","Non-English",""))))))</f>
        <v/>
      </c>
      <c r="N406" s="12"/>
      <c r="O406" s="12"/>
      <c r="P406" s="13"/>
      <c r="Q406" s="13"/>
      <c r="R406" s="13"/>
      <c r="S406" s="11" t="str">
        <f>IF(N406&lt;&gt;"Yes","",IF(COUNTBLANK(P406:R406)=3,"",IF(COUNTIF(P406:R406,"No")&gt;0,"EXCLUDE","INCLUDE")))</f>
        <v/>
      </c>
      <c r="T406" s="11" t="str">
        <f>IF(S406&lt;&gt;"EXCLUDE","",IF(P406="No","Digital Twin mentioned only, not the subject",IF(Q406="No","No Design for Safety/Quality in full text",IF(R406="No","Methodology not codable",""))))</f>
        <v/>
      </c>
      <c r="U406" s="14"/>
      <c r="V406" s="14"/>
      <c r="W406" s="14"/>
      <c r="X406" s="14"/>
      <c r="Y406" s="11" t="str">
        <f>IF(SUM(V406:X406)=0,"",IF(SUM(V406:X406)&gt;=2,"Multi","Single"))</f>
        <v/>
      </c>
      <c r="Z406" s="14"/>
      <c r="AA406" s="14"/>
      <c r="AB406" s="14"/>
      <c r="AC406" s="14"/>
      <c r="AD406" s="14"/>
      <c r="AE406" s="14"/>
      <c r="AF406" s="14"/>
      <c r="AG406" s="15"/>
    </row>
    <row r="407" spans="1:33">
      <c r="A407" s="8" t="s">
        <v>531</v>
      </c>
      <c r="B407" s="9"/>
      <c r="C407" s="8"/>
      <c r="D407" s="9"/>
      <c r="E407" s="9"/>
      <c r="F407" s="8"/>
      <c r="G407" s="10"/>
      <c r="H407" s="10"/>
      <c r="I407" s="10"/>
      <c r="J407" s="10"/>
      <c r="K407" s="10"/>
      <c r="L407" s="11" t="str">
        <f>IF(COUNTBLANK(G407:K407)=5,"",IF(COUNTIF(G407:K407,"No")&gt;0,"EXCLUDE","INCLUDE"))</f>
        <v/>
      </c>
      <c r="M407" s="11" t="str">
        <f>IF(L407&lt;&gt;"EXCLUDE","",IF(G407="No","Wrong domain (non-AECO)",IF(H407="No","Digital Twin not core / buzzword",IF(I407="No","No Design for Safety/Quality/PtD",IF(J407="No","Wrong publication type",IF(K407="No","Non-English",""))))))</f>
        <v/>
      </c>
      <c r="N407" s="12"/>
      <c r="O407" s="12"/>
      <c r="P407" s="13"/>
      <c r="Q407" s="13"/>
      <c r="R407" s="13"/>
      <c r="S407" s="11" t="str">
        <f>IF(N407&lt;&gt;"Yes","",IF(COUNTBLANK(P407:R407)=3,"",IF(COUNTIF(P407:R407,"No")&gt;0,"EXCLUDE","INCLUDE")))</f>
        <v/>
      </c>
      <c r="T407" s="11" t="str">
        <f>IF(S407&lt;&gt;"EXCLUDE","",IF(P407="No","Digital Twin mentioned only, not the subject",IF(Q407="No","No Design for Safety/Quality in full text",IF(R407="No","Methodology not codable",""))))</f>
        <v/>
      </c>
      <c r="U407" s="14"/>
      <c r="V407" s="14"/>
      <c r="W407" s="14"/>
      <c r="X407" s="14"/>
      <c r="Y407" s="11" t="str">
        <f>IF(SUM(V407:X407)=0,"",IF(SUM(V407:X407)&gt;=2,"Multi","Single"))</f>
        <v/>
      </c>
      <c r="Z407" s="14"/>
      <c r="AA407" s="14"/>
      <c r="AB407" s="14"/>
      <c r="AC407" s="14"/>
      <c r="AD407" s="14"/>
      <c r="AE407" s="14"/>
      <c r="AF407" s="14"/>
      <c r="AG407" s="15"/>
    </row>
    <row r="408" spans="1:33">
      <c r="A408" s="8" t="s">
        <v>532</v>
      </c>
      <c r="B408" s="9"/>
      <c r="C408" s="8"/>
      <c r="D408" s="9"/>
      <c r="E408" s="9"/>
      <c r="F408" s="8"/>
      <c r="G408" s="10"/>
      <c r="H408" s="10"/>
      <c r="I408" s="10"/>
      <c r="J408" s="10"/>
      <c r="K408" s="10"/>
      <c r="L408" s="11" t="str">
        <f>IF(COUNTBLANK(G408:K408)=5,"",IF(COUNTIF(G408:K408,"No")&gt;0,"EXCLUDE","INCLUDE"))</f>
        <v/>
      </c>
      <c r="M408" s="11" t="str">
        <f>IF(L408&lt;&gt;"EXCLUDE","",IF(G408="No","Wrong domain (non-AECO)",IF(H408="No","Digital Twin not core / buzzword",IF(I408="No","No Design for Safety/Quality/PtD",IF(J408="No","Wrong publication type",IF(K408="No","Non-English",""))))))</f>
        <v/>
      </c>
      <c r="N408" s="12"/>
      <c r="O408" s="12"/>
      <c r="P408" s="13"/>
      <c r="Q408" s="13"/>
      <c r="R408" s="13"/>
      <c r="S408" s="11" t="str">
        <f>IF(N408&lt;&gt;"Yes","",IF(COUNTBLANK(P408:R408)=3,"",IF(COUNTIF(P408:R408,"No")&gt;0,"EXCLUDE","INCLUDE")))</f>
        <v/>
      </c>
      <c r="T408" s="11" t="str">
        <f>IF(S408&lt;&gt;"EXCLUDE","",IF(P408="No","Digital Twin mentioned only, not the subject",IF(Q408="No","No Design for Safety/Quality in full text",IF(R408="No","Methodology not codable",""))))</f>
        <v/>
      </c>
      <c r="U408" s="14"/>
      <c r="V408" s="14"/>
      <c r="W408" s="14"/>
      <c r="X408" s="14"/>
      <c r="Y408" s="11" t="str">
        <f>IF(SUM(V408:X408)=0,"",IF(SUM(V408:X408)&gt;=2,"Multi","Single"))</f>
        <v/>
      </c>
      <c r="Z408" s="14"/>
      <c r="AA408" s="14"/>
      <c r="AB408" s="14"/>
      <c r="AC408" s="14"/>
      <c r="AD408" s="14"/>
      <c r="AE408" s="14"/>
      <c r="AF408" s="14"/>
      <c r="AG408" s="15"/>
    </row>
    <row r="409" spans="1:33">
      <c r="A409" s="8" t="s">
        <v>533</v>
      </c>
      <c r="B409" s="9"/>
      <c r="C409" s="8"/>
      <c r="D409" s="9"/>
      <c r="E409" s="9"/>
      <c r="F409" s="8"/>
      <c r="G409" s="10"/>
      <c r="H409" s="10"/>
      <c r="I409" s="10"/>
      <c r="J409" s="10"/>
      <c r="K409" s="10"/>
      <c r="L409" s="11" t="str">
        <f>IF(COUNTBLANK(G409:K409)=5,"",IF(COUNTIF(G409:K409,"No")&gt;0,"EXCLUDE","INCLUDE"))</f>
        <v/>
      </c>
      <c r="M409" s="11" t="str">
        <f>IF(L409&lt;&gt;"EXCLUDE","",IF(G409="No","Wrong domain (non-AECO)",IF(H409="No","Digital Twin not core / buzzword",IF(I409="No","No Design for Safety/Quality/PtD",IF(J409="No","Wrong publication type",IF(K409="No","Non-English",""))))))</f>
        <v/>
      </c>
      <c r="N409" s="12"/>
      <c r="O409" s="12"/>
      <c r="P409" s="13"/>
      <c r="Q409" s="13"/>
      <c r="R409" s="13"/>
      <c r="S409" s="11" t="str">
        <f>IF(N409&lt;&gt;"Yes","",IF(COUNTBLANK(P409:R409)=3,"",IF(COUNTIF(P409:R409,"No")&gt;0,"EXCLUDE","INCLUDE")))</f>
        <v/>
      </c>
      <c r="T409" s="11" t="str">
        <f>IF(S409&lt;&gt;"EXCLUDE","",IF(P409="No","Digital Twin mentioned only, not the subject",IF(Q409="No","No Design for Safety/Quality in full text",IF(R409="No","Methodology not codable",""))))</f>
        <v/>
      </c>
      <c r="U409" s="14"/>
      <c r="V409" s="14"/>
      <c r="W409" s="14"/>
      <c r="X409" s="14"/>
      <c r="Y409" s="11" t="str">
        <f>IF(SUM(V409:X409)=0,"",IF(SUM(V409:X409)&gt;=2,"Multi","Single"))</f>
        <v/>
      </c>
      <c r="Z409" s="14"/>
      <c r="AA409" s="14"/>
      <c r="AB409" s="14"/>
      <c r="AC409" s="14"/>
      <c r="AD409" s="14"/>
      <c r="AE409" s="14"/>
      <c r="AF409" s="14"/>
      <c r="AG409" s="15"/>
    </row>
    <row r="410" spans="1:33">
      <c r="A410" s="8" t="s">
        <v>534</v>
      </c>
      <c r="B410" s="9"/>
      <c r="C410" s="8"/>
      <c r="D410" s="9"/>
      <c r="E410" s="9"/>
      <c r="F410" s="8"/>
      <c r="G410" s="10"/>
      <c r="H410" s="10"/>
      <c r="I410" s="10"/>
      <c r="J410" s="10"/>
      <c r="K410" s="10"/>
      <c r="L410" s="11" t="str">
        <f>IF(COUNTBLANK(G410:K410)=5,"",IF(COUNTIF(G410:K410,"No")&gt;0,"EXCLUDE","INCLUDE"))</f>
        <v/>
      </c>
      <c r="M410" s="11" t="str">
        <f>IF(L410&lt;&gt;"EXCLUDE","",IF(G410="No","Wrong domain (non-AECO)",IF(H410="No","Digital Twin not core / buzzword",IF(I410="No","No Design for Safety/Quality/PtD",IF(J410="No","Wrong publication type",IF(K410="No","Non-English",""))))))</f>
        <v/>
      </c>
      <c r="N410" s="12"/>
      <c r="O410" s="12"/>
      <c r="P410" s="13"/>
      <c r="Q410" s="13"/>
      <c r="R410" s="13"/>
      <c r="S410" s="11" t="str">
        <f>IF(N410&lt;&gt;"Yes","",IF(COUNTBLANK(P410:R410)=3,"",IF(COUNTIF(P410:R410,"No")&gt;0,"EXCLUDE","INCLUDE")))</f>
        <v/>
      </c>
      <c r="T410" s="11" t="str">
        <f>IF(S410&lt;&gt;"EXCLUDE","",IF(P410="No","Digital Twin mentioned only, not the subject",IF(Q410="No","No Design for Safety/Quality in full text",IF(R410="No","Methodology not codable",""))))</f>
        <v/>
      </c>
      <c r="U410" s="14"/>
      <c r="V410" s="14"/>
      <c r="W410" s="14"/>
      <c r="X410" s="14"/>
      <c r="Y410" s="11" t="str">
        <f>IF(SUM(V410:X410)=0,"",IF(SUM(V410:X410)&gt;=2,"Multi","Single"))</f>
        <v/>
      </c>
      <c r="Z410" s="14"/>
      <c r="AA410" s="14"/>
      <c r="AB410" s="14"/>
      <c r="AC410" s="14"/>
      <c r="AD410" s="14"/>
      <c r="AE410" s="14"/>
      <c r="AF410" s="14"/>
      <c r="AG410" s="15"/>
    </row>
    <row r="411" spans="1:33">
      <c r="A411" s="8" t="s">
        <v>535</v>
      </c>
      <c r="B411" s="9"/>
      <c r="C411" s="8"/>
      <c r="D411" s="9"/>
      <c r="E411" s="9"/>
      <c r="F411" s="8"/>
      <c r="G411" s="10"/>
      <c r="H411" s="10"/>
      <c r="I411" s="10"/>
      <c r="J411" s="10"/>
      <c r="K411" s="10"/>
      <c r="L411" s="11" t="str">
        <f>IF(COUNTBLANK(G411:K411)=5,"",IF(COUNTIF(G411:K411,"No")&gt;0,"EXCLUDE","INCLUDE"))</f>
        <v/>
      </c>
      <c r="M411" s="11" t="str">
        <f>IF(L411&lt;&gt;"EXCLUDE","",IF(G411="No","Wrong domain (non-AECO)",IF(H411="No","Digital Twin not core / buzzword",IF(I411="No","No Design for Safety/Quality/PtD",IF(J411="No","Wrong publication type",IF(K411="No","Non-English",""))))))</f>
        <v/>
      </c>
      <c r="N411" s="12"/>
      <c r="O411" s="12"/>
      <c r="P411" s="13"/>
      <c r="Q411" s="13"/>
      <c r="R411" s="13"/>
      <c r="S411" s="11" t="str">
        <f>IF(N411&lt;&gt;"Yes","",IF(COUNTBLANK(P411:R411)=3,"",IF(COUNTIF(P411:R411,"No")&gt;0,"EXCLUDE","INCLUDE")))</f>
        <v/>
      </c>
      <c r="T411" s="11" t="str">
        <f>IF(S411&lt;&gt;"EXCLUDE","",IF(P411="No","Digital Twin mentioned only, not the subject",IF(Q411="No","No Design for Safety/Quality in full text",IF(R411="No","Methodology not codable",""))))</f>
        <v/>
      </c>
      <c r="U411" s="14"/>
      <c r="V411" s="14"/>
      <c r="W411" s="14"/>
      <c r="X411" s="14"/>
      <c r="Y411" s="11" t="str">
        <f>IF(SUM(V411:X411)=0,"",IF(SUM(V411:X411)&gt;=2,"Multi","Single"))</f>
        <v/>
      </c>
      <c r="Z411" s="14"/>
      <c r="AA411" s="14"/>
      <c r="AB411" s="14"/>
      <c r="AC411" s="14"/>
      <c r="AD411" s="14"/>
      <c r="AE411" s="14"/>
      <c r="AF411" s="14"/>
      <c r="AG411" s="15"/>
    </row>
    <row r="412" spans="1:33">
      <c r="A412" s="8" t="s">
        <v>536</v>
      </c>
      <c r="B412" s="9"/>
      <c r="C412" s="8"/>
      <c r="D412" s="9"/>
      <c r="E412" s="9"/>
      <c r="F412" s="8"/>
      <c r="G412" s="10"/>
      <c r="H412" s="10"/>
      <c r="I412" s="10"/>
      <c r="J412" s="10"/>
      <c r="K412" s="10"/>
      <c r="L412" s="11" t="str">
        <f>IF(COUNTBLANK(G412:K412)=5,"",IF(COUNTIF(G412:K412,"No")&gt;0,"EXCLUDE","INCLUDE"))</f>
        <v/>
      </c>
      <c r="M412" s="11" t="str">
        <f>IF(L412&lt;&gt;"EXCLUDE","",IF(G412="No","Wrong domain (non-AECO)",IF(H412="No","Digital Twin not core / buzzword",IF(I412="No","No Design for Safety/Quality/PtD",IF(J412="No","Wrong publication type",IF(K412="No","Non-English",""))))))</f>
        <v/>
      </c>
      <c r="N412" s="12"/>
      <c r="O412" s="12"/>
      <c r="P412" s="13"/>
      <c r="Q412" s="13"/>
      <c r="R412" s="13"/>
      <c r="S412" s="11" t="str">
        <f>IF(N412&lt;&gt;"Yes","",IF(COUNTBLANK(P412:R412)=3,"",IF(COUNTIF(P412:R412,"No")&gt;0,"EXCLUDE","INCLUDE")))</f>
        <v/>
      </c>
      <c r="T412" s="11" t="str">
        <f>IF(S412&lt;&gt;"EXCLUDE","",IF(P412="No","Digital Twin mentioned only, not the subject",IF(Q412="No","No Design for Safety/Quality in full text",IF(R412="No","Methodology not codable",""))))</f>
        <v/>
      </c>
      <c r="U412" s="14"/>
      <c r="V412" s="14"/>
      <c r="W412" s="14"/>
      <c r="X412" s="14"/>
      <c r="Y412" s="11" t="str">
        <f>IF(SUM(V412:X412)=0,"",IF(SUM(V412:X412)&gt;=2,"Multi","Single"))</f>
        <v/>
      </c>
      <c r="Z412" s="14"/>
      <c r="AA412" s="14"/>
      <c r="AB412" s="14"/>
      <c r="AC412" s="14"/>
      <c r="AD412" s="14"/>
      <c r="AE412" s="14"/>
      <c r="AF412" s="14"/>
      <c r="AG412" s="15"/>
    </row>
    <row r="413" spans="1:33">
      <c r="A413" s="8" t="s">
        <v>537</v>
      </c>
      <c r="B413" s="9"/>
      <c r="C413" s="8"/>
      <c r="D413" s="9"/>
      <c r="E413" s="9"/>
      <c r="F413" s="8"/>
      <c r="G413" s="10"/>
      <c r="H413" s="10"/>
      <c r="I413" s="10"/>
      <c r="J413" s="10"/>
      <c r="K413" s="10"/>
      <c r="L413" s="11" t="str">
        <f>IF(COUNTBLANK(G413:K413)=5,"",IF(COUNTIF(G413:K413,"No")&gt;0,"EXCLUDE","INCLUDE"))</f>
        <v/>
      </c>
      <c r="M413" s="11" t="str">
        <f>IF(L413&lt;&gt;"EXCLUDE","",IF(G413="No","Wrong domain (non-AECO)",IF(H413="No","Digital Twin not core / buzzword",IF(I413="No","No Design for Safety/Quality/PtD",IF(J413="No","Wrong publication type",IF(K413="No","Non-English",""))))))</f>
        <v/>
      </c>
      <c r="N413" s="12"/>
      <c r="O413" s="12"/>
      <c r="P413" s="13"/>
      <c r="Q413" s="13"/>
      <c r="R413" s="13"/>
      <c r="S413" s="11" t="str">
        <f>IF(N413&lt;&gt;"Yes","",IF(COUNTBLANK(P413:R413)=3,"",IF(COUNTIF(P413:R413,"No")&gt;0,"EXCLUDE","INCLUDE")))</f>
        <v/>
      </c>
      <c r="T413" s="11" t="str">
        <f>IF(S413&lt;&gt;"EXCLUDE","",IF(P413="No","Digital Twin mentioned only, not the subject",IF(Q413="No","No Design for Safety/Quality in full text",IF(R413="No","Methodology not codable",""))))</f>
        <v/>
      </c>
      <c r="U413" s="14"/>
      <c r="V413" s="14"/>
      <c r="W413" s="14"/>
      <c r="X413" s="14"/>
      <c r="Y413" s="11" t="str">
        <f>IF(SUM(V413:X413)=0,"",IF(SUM(V413:X413)&gt;=2,"Multi","Single"))</f>
        <v/>
      </c>
      <c r="Z413" s="14"/>
      <c r="AA413" s="14"/>
      <c r="AB413" s="14"/>
      <c r="AC413" s="14"/>
      <c r="AD413" s="14"/>
      <c r="AE413" s="14"/>
      <c r="AF413" s="14"/>
      <c r="AG413" s="15"/>
    </row>
    <row r="414" spans="1:33">
      <c r="A414" s="8" t="s">
        <v>538</v>
      </c>
      <c r="B414" s="9"/>
      <c r="C414" s="8"/>
      <c r="D414" s="9"/>
      <c r="E414" s="9"/>
      <c r="F414" s="8"/>
      <c r="G414" s="10"/>
      <c r="H414" s="10"/>
      <c r="I414" s="10"/>
      <c r="J414" s="10"/>
      <c r="K414" s="10"/>
      <c r="L414" s="11" t="str">
        <f>IF(COUNTBLANK(G414:K414)=5,"",IF(COUNTIF(G414:K414,"No")&gt;0,"EXCLUDE","INCLUDE"))</f>
        <v/>
      </c>
      <c r="M414" s="11" t="str">
        <f>IF(L414&lt;&gt;"EXCLUDE","",IF(G414="No","Wrong domain (non-AECO)",IF(H414="No","Digital Twin not core / buzzword",IF(I414="No","No Design for Safety/Quality/PtD",IF(J414="No","Wrong publication type",IF(K414="No","Non-English",""))))))</f>
        <v/>
      </c>
      <c r="N414" s="12"/>
      <c r="O414" s="12"/>
      <c r="P414" s="13"/>
      <c r="Q414" s="13"/>
      <c r="R414" s="13"/>
      <c r="S414" s="11" t="str">
        <f>IF(N414&lt;&gt;"Yes","",IF(COUNTBLANK(P414:R414)=3,"",IF(COUNTIF(P414:R414,"No")&gt;0,"EXCLUDE","INCLUDE")))</f>
        <v/>
      </c>
      <c r="T414" s="11" t="str">
        <f>IF(S414&lt;&gt;"EXCLUDE","",IF(P414="No","Digital Twin mentioned only, not the subject",IF(Q414="No","No Design for Safety/Quality in full text",IF(R414="No","Methodology not codable",""))))</f>
        <v/>
      </c>
      <c r="U414" s="14"/>
      <c r="V414" s="14"/>
      <c r="W414" s="14"/>
      <c r="X414" s="14"/>
      <c r="Y414" s="11" t="str">
        <f>IF(SUM(V414:X414)=0,"",IF(SUM(V414:X414)&gt;=2,"Multi","Single"))</f>
        <v/>
      </c>
      <c r="Z414" s="14"/>
      <c r="AA414" s="14"/>
      <c r="AB414" s="14"/>
      <c r="AC414" s="14"/>
      <c r="AD414" s="14"/>
      <c r="AE414" s="14"/>
      <c r="AF414" s="14"/>
      <c r="AG414" s="15"/>
    </row>
    <row r="415" spans="1:33">
      <c r="A415" s="8" t="s">
        <v>539</v>
      </c>
      <c r="B415" s="9"/>
      <c r="C415" s="8"/>
      <c r="D415" s="9"/>
      <c r="E415" s="9"/>
      <c r="F415" s="8"/>
      <c r="G415" s="10"/>
      <c r="H415" s="10"/>
      <c r="I415" s="10"/>
      <c r="J415" s="10"/>
      <c r="K415" s="10"/>
      <c r="L415" s="11" t="str">
        <f>IF(COUNTBLANK(G415:K415)=5,"",IF(COUNTIF(G415:K415,"No")&gt;0,"EXCLUDE","INCLUDE"))</f>
        <v/>
      </c>
      <c r="M415" s="11" t="str">
        <f>IF(L415&lt;&gt;"EXCLUDE","",IF(G415="No","Wrong domain (non-AECO)",IF(H415="No","Digital Twin not core / buzzword",IF(I415="No","No Design for Safety/Quality/PtD",IF(J415="No","Wrong publication type",IF(K415="No","Non-English",""))))))</f>
        <v/>
      </c>
      <c r="N415" s="12"/>
      <c r="O415" s="12"/>
      <c r="P415" s="13"/>
      <c r="Q415" s="13"/>
      <c r="R415" s="13"/>
      <c r="S415" s="11" t="str">
        <f>IF(N415&lt;&gt;"Yes","",IF(COUNTBLANK(P415:R415)=3,"",IF(COUNTIF(P415:R415,"No")&gt;0,"EXCLUDE","INCLUDE")))</f>
        <v/>
      </c>
      <c r="T415" s="11" t="str">
        <f>IF(S415&lt;&gt;"EXCLUDE","",IF(P415="No","Digital Twin mentioned only, not the subject",IF(Q415="No","No Design for Safety/Quality in full text",IF(R415="No","Methodology not codable",""))))</f>
        <v/>
      </c>
      <c r="U415" s="14"/>
      <c r="V415" s="14"/>
      <c r="W415" s="14"/>
      <c r="X415" s="14"/>
      <c r="Y415" s="11" t="str">
        <f>IF(SUM(V415:X415)=0,"",IF(SUM(V415:X415)&gt;=2,"Multi","Single"))</f>
        <v/>
      </c>
      <c r="Z415" s="14"/>
      <c r="AA415" s="14"/>
      <c r="AB415" s="14"/>
      <c r="AC415" s="14"/>
      <c r="AD415" s="14"/>
      <c r="AE415" s="14"/>
      <c r="AF415" s="14"/>
      <c r="AG415" s="15"/>
    </row>
    <row r="416" spans="1:33">
      <c r="A416" s="8" t="s">
        <v>540</v>
      </c>
      <c r="B416" s="9"/>
      <c r="C416" s="8"/>
      <c r="D416" s="9"/>
      <c r="E416" s="9"/>
      <c r="F416" s="8"/>
      <c r="G416" s="10"/>
      <c r="H416" s="10"/>
      <c r="I416" s="10"/>
      <c r="J416" s="10"/>
      <c r="K416" s="10"/>
      <c r="L416" s="11" t="str">
        <f>IF(COUNTBLANK(G416:K416)=5,"",IF(COUNTIF(G416:K416,"No")&gt;0,"EXCLUDE","INCLUDE"))</f>
        <v/>
      </c>
      <c r="M416" s="11" t="str">
        <f>IF(L416&lt;&gt;"EXCLUDE","",IF(G416="No","Wrong domain (non-AECO)",IF(H416="No","Digital Twin not core / buzzword",IF(I416="No","No Design for Safety/Quality/PtD",IF(J416="No","Wrong publication type",IF(K416="No","Non-English",""))))))</f>
        <v/>
      </c>
      <c r="N416" s="12"/>
      <c r="O416" s="12"/>
      <c r="P416" s="13"/>
      <c r="Q416" s="13"/>
      <c r="R416" s="13"/>
      <c r="S416" s="11" t="str">
        <f>IF(N416&lt;&gt;"Yes","",IF(COUNTBLANK(P416:R416)=3,"",IF(COUNTIF(P416:R416,"No")&gt;0,"EXCLUDE","INCLUDE")))</f>
        <v/>
      </c>
      <c r="T416" s="11" t="str">
        <f>IF(S416&lt;&gt;"EXCLUDE","",IF(P416="No","Digital Twin mentioned only, not the subject",IF(Q416="No","No Design for Safety/Quality in full text",IF(R416="No","Methodology not codable",""))))</f>
        <v/>
      </c>
      <c r="U416" s="14"/>
      <c r="V416" s="14"/>
      <c r="W416" s="14"/>
      <c r="X416" s="14"/>
      <c r="Y416" s="11" t="str">
        <f>IF(SUM(V416:X416)=0,"",IF(SUM(V416:X416)&gt;=2,"Multi","Single"))</f>
        <v/>
      </c>
      <c r="Z416" s="14"/>
      <c r="AA416" s="14"/>
      <c r="AB416" s="14"/>
      <c r="AC416" s="14"/>
      <c r="AD416" s="14"/>
      <c r="AE416" s="14"/>
      <c r="AF416" s="14"/>
      <c r="AG416" s="15"/>
    </row>
    <row r="417" spans="1:33">
      <c r="A417" s="8" t="s">
        <v>541</v>
      </c>
      <c r="B417" s="9"/>
      <c r="C417" s="8"/>
      <c r="D417" s="9"/>
      <c r="E417" s="9"/>
      <c r="F417" s="8"/>
      <c r="G417" s="10"/>
      <c r="H417" s="10"/>
      <c r="I417" s="10"/>
      <c r="J417" s="10"/>
      <c r="K417" s="10"/>
      <c r="L417" s="11" t="str">
        <f>IF(COUNTBLANK(G417:K417)=5,"",IF(COUNTIF(G417:K417,"No")&gt;0,"EXCLUDE","INCLUDE"))</f>
        <v/>
      </c>
      <c r="M417" s="11" t="str">
        <f>IF(L417&lt;&gt;"EXCLUDE","",IF(G417="No","Wrong domain (non-AECO)",IF(H417="No","Digital Twin not core / buzzword",IF(I417="No","No Design for Safety/Quality/PtD",IF(J417="No","Wrong publication type",IF(K417="No","Non-English",""))))))</f>
        <v/>
      </c>
      <c r="N417" s="12"/>
      <c r="O417" s="12"/>
      <c r="P417" s="13"/>
      <c r="Q417" s="13"/>
      <c r="R417" s="13"/>
      <c r="S417" s="11" t="str">
        <f>IF(N417&lt;&gt;"Yes","",IF(COUNTBLANK(P417:R417)=3,"",IF(COUNTIF(P417:R417,"No")&gt;0,"EXCLUDE","INCLUDE")))</f>
        <v/>
      </c>
      <c r="T417" s="11" t="str">
        <f>IF(S417&lt;&gt;"EXCLUDE","",IF(P417="No","Digital Twin mentioned only, not the subject",IF(Q417="No","No Design for Safety/Quality in full text",IF(R417="No","Methodology not codable",""))))</f>
        <v/>
      </c>
      <c r="U417" s="14"/>
      <c r="V417" s="14"/>
      <c r="W417" s="14"/>
      <c r="X417" s="14"/>
      <c r="Y417" s="11" t="str">
        <f>IF(SUM(V417:X417)=0,"",IF(SUM(V417:X417)&gt;=2,"Multi","Single"))</f>
        <v/>
      </c>
      <c r="Z417" s="14"/>
      <c r="AA417" s="14"/>
      <c r="AB417" s="14"/>
      <c r="AC417" s="14"/>
      <c r="AD417" s="14"/>
      <c r="AE417" s="14"/>
      <c r="AF417" s="14"/>
      <c r="AG417" s="15"/>
    </row>
    <row r="418" spans="1:33">
      <c r="A418" s="8" t="s">
        <v>542</v>
      </c>
      <c r="B418" s="9"/>
      <c r="C418" s="8"/>
      <c r="D418" s="9"/>
      <c r="E418" s="9"/>
      <c r="F418" s="8"/>
      <c r="G418" s="10"/>
      <c r="H418" s="10"/>
      <c r="I418" s="10"/>
      <c r="J418" s="10"/>
      <c r="K418" s="10"/>
      <c r="L418" s="11" t="str">
        <f>IF(COUNTBLANK(G418:K418)=5,"",IF(COUNTIF(G418:K418,"No")&gt;0,"EXCLUDE","INCLUDE"))</f>
        <v/>
      </c>
      <c r="M418" s="11" t="str">
        <f>IF(L418&lt;&gt;"EXCLUDE","",IF(G418="No","Wrong domain (non-AECO)",IF(H418="No","Digital Twin not core / buzzword",IF(I418="No","No Design for Safety/Quality/PtD",IF(J418="No","Wrong publication type",IF(K418="No","Non-English",""))))))</f>
        <v/>
      </c>
      <c r="N418" s="12"/>
      <c r="O418" s="12"/>
      <c r="P418" s="13"/>
      <c r="Q418" s="13"/>
      <c r="R418" s="13"/>
      <c r="S418" s="11" t="str">
        <f>IF(N418&lt;&gt;"Yes","",IF(COUNTBLANK(P418:R418)=3,"",IF(COUNTIF(P418:R418,"No")&gt;0,"EXCLUDE","INCLUDE")))</f>
        <v/>
      </c>
      <c r="T418" s="11" t="str">
        <f>IF(S418&lt;&gt;"EXCLUDE","",IF(P418="No","Digital Twin mentioned only, not the subject",IF(Q418="No","No Design for Safety/Quality in full text",IF(R418="No","Methodology not codable",""))))</f>
        <v/>
      </c>
      <c r="U418" s="14"/>
      <c r="V418" s="14"/>
      <c r="W418" s="14"/>
      <c r="X418" s="14"/>
      <c r="Y418" s="11" t="str">
        <f>IF(SUM(V418:X418)=0,"",IF(SUM(V418:X418)&gt;=2,"Multi","Single"))</f>
        <v/>
      </c>
      <c r="Z418" s="14"/>
      <c r="AA418" s="14"/>
      <c r="AB418" s="14"/>
      <c r="AC418" s="14"/>
      <c r="AD418" s="14"/>
      <c r="AE418" s="14"/>
      <c r="AF418" s="14"/>
      <c r="AG418" s="15"/>
    </row>
    <row r="419" spans="1:33">
      <c r="A419" s="8" t="s">
        <v>543</v>
      </c>
      <c r="B419" s="9"/>
      <c r="C419" s="8"/>
      <c r="D419" s="9"/>
      <c r="E419" s="9"/>
      <c r="F419" s="8"/>
      <c r="G419" s="10"/>
      <c r="H419" s="10"/>
      <c r="I419" s="10"/>
      <c r="J419" s="10"/>
      <c r="K419" s="10"/>
      <c r="L419" s="11" t="str">
        <f>IF(COUNTBLANK(G419:K419)=5,"",IF(COUNTIF(G419:K419,"No")&gt;0,"EXCLUDE","INCLUDE"))</f>
        <v/>
      </c>
      <c r="M419" s="11" t="str">
        <f>IF(L419&lt;&gt;"EXCLUDE","",IF(G419="No","Wrong domain (non-AECO)",IF(H419="No","Digital Twin not core / buzzword",IF(I419="No","No Design for Safety/Quality/PtD",IF(J419="No","Wrong publication type",IF(K419="No","Non-English",""))))))</f>
        <v/>
      </c>
      <c r="N419" s="12"/>
      <c r="O419" s="12"/>
      <c r="P419" s="13"/>
      <c r="Q419" s="13"/>
      <c r="R419" s="13"/>
      <c r="S419" s="11" t="str">
        <f>IF(N419&lt;&gt;"Yes","",IF(COUNTBLANK(P419:R419)=3,"",IF(COUNTIF(P419:R419,"No")&gt;0,"EXCLUDE","INCLUDE")))</f>
        <v/>
      </c>
      <c r="T419" s="11" t="str">
        <f>IF(S419&lt;&gt;"EXCLUDE","",IF(P419="No","Digital Twin mentioned only, not the subject",IF(Q419="No","No Design for Safety/Quality in full text",IF(R419="No","Methodology not codable",""))))</f>
        <v/>
      </c>
      <c r="U419" s="14"/>
      <c r="V419" s="14"/>
      <c r="W419" s="14"/>
      <c r="X419" s="14"/>
      <c r="Y419" s="11" t="str">
        <f>IF(SUM(V419:X419)=0,"",IF(SUM(V419:X419)&gt;=2,"Multi","Single"))</f>
        <v/>
      </c>
      <c r="Z419" s="14"/>
      <c r="AA419" s="14"/>
      <c r="AB419" s="14"/>
      <c r="AC419" s="14"/>
      <c r="AD419" s="14"/>
      <c r="AE419" s="14"/>
      <c r="AF419" s="14"/>
      <c r="AG419" s="15"/>
    </row>
    <row r="420" spans="1:33">
      <c r="A420" s="8" t="s">
        <v>544</v>
      </c>
      <c r="B420" s="9"/>
      <c r="C420" s="8"/>
      <c r="D420" s="9"/>
      <c r="E420" s="9"/>
      <c r="F420" s="8"/>
      <c r="G420" s="10"/>
      <c r="H420" s="10"/>
      <c r="I420" s="10"/>
      <c r="J420" s="10"/>
      <c r="K420" s="10"/>
      <c r="L420" s="11" t="str">
        <f>IF(COUNTBLANK(G420:K420)=5,"",IF(COUNTIF(G420:K420,"No")&gt;0,"EXCLUDE","INCLUDE"))</f>
        <v/>
      </c>
      <c r="M420" s="11" t="str">
        <f>IF(L420&lt;&gt;"EXCLUDE","",IF(G420="No","Wrong domain (non-AECO)",IF(H420="No","Digital Twin not core / buzzword",IF(I420="No","No Design for Safety/Quality/PtD",IF(J420="No","Wrong publication type",IF(K420="No","Non-English",""))))))</f>
        <v/>
      </c>
      <c r="N420" s="12"/>
      <c r="O420" s="12"/>
      <c r="P420" s="13"/>
      <c r="Q420" s="13"/>
      <c r="R420" s="13"/>
      <c r="S420" s="11" t="str">
        <f>IF(N420&lt;&gt;"Yes","",IF(COUNTBLANK(P420:R420)=3,"",IF(COUNTIF(P420:R420,"No")&gt;0,"EXCLUDE","INCLUDE")))</f>
        <v/>
      </c>
      <c r="T420" s="11" t="str">
        <f>IF(S420&lt;&gt;"EXCLUDE","",IF(P420="No","Digital Twin mentioned only, not the subject",IF(Q420="No","No Design for Safety/Quality in full text",IF(R420="No","Methodology not codable",""))))</f>
        <v/>
      </c>
      <c r="U420" s="14"/>
      <c r="V420" s="14"/>
      <c r="W420" s="14"/>
      <c r="X420" s="14"/>
      <c r="Y420" s="11" t="str">
        <f>IF(SUM(V420:X420)=0,"",IF(SUM(V420:X420)&gt;=2,"Multi","Single"))</f>
        <v/>
      </c>
      <c r="Z420" s="14"/>
      <c r="AA420" s="14"/>
      <c r="AB420" s="14"/>
      <c r="AC420" s="14"/>
      <c r="AD420" s="14"/>
      <c r="AE420" s="14"/>
      <c r="AF420" s="14"/>
      <c r="AG420" s="15"/>
    </row>
    <row r="421" spans="1:33">
      <c r="A421" s="8" t="s">
        <v>545</v>
      </c>
      <c r="B421" s="9"/>
      <c r="C421" s="8"/>
      <c r="D421" s="9"/>
      <c r="E421" s="9"/>
      <c r="F421" s="8"/>
      <c r="G421" s="10"/>
      <c r="H421" s="10"/>
      <c r="I421" s="10"/>
      <c r="J421" s="10"/>
      <c r="K421" s="10"/>
      <c r="L421" s="11" t="str">
        <f>IF(COUNTBLANK(G421:K421)=5,"",IF(COUNTIF(G421:K421,"No")&gt;0,"EXCLUDE","INCLUDE"))</f>
        <v/>
      </c>
      <c r="M421" s="11" t="str">
        <f>IF(L421&lt;&gt;"EXCLUDE","",IF(G421="No","Wrong domain (non-AECO)",IF(H421="No","Digital Twin not core / buzzword",IF(I421="No","No Design for Safety/Quality/PtD",IF(J421="No","Wrong publication type",IF(K421="No","Non-English",""))))))</f>
        <v/>
      </c>
      <c r="N421" s="12"/>
      <c r="O421" s="12"/>
      <c r="P421" s="13"/>
      <c r="Q421" s="13"/>
      <c r="R421" s="13"/>
      <c r="S421" s="11" t="str">
        <f>IF(N421&lt;&gt;"Yes","",IF(COUNTBLANK(P421:R421)=3,"",IF(COUNTIF(P421:R421,"No")&gt;0,"EXCLUDE","INCLUDE")))</f>
        <v/>
      </c>
      <c r="T421" s="11" t="str">
        <f>IF(S421&lt;&gt;"EXCLUDE","",IF(P421="No","Digital Twin mentioned only, not the subject",IF(Q421="No","No Design for Safety/Quality in full text",IF(R421="No","Methodology not codable",""))))</f>
        <v/>
      </c>
      <c r="U421" s="14"/>
      <c r="V421" s="14"/>
      <c r="W421" s="14"/>
      <c r="X421" s="14"/>
      <c r="Y421" s="11" t="str">
        <f>IF(SUM(V421:X421)=0,"",IF(SUM(V421:X421)&gt;=2,"Multi","Single"))</f>
        <v/>
      </c>
      <c r="Z421" s="14"/>
      <c r="AA421" s="14"/>
      <c r="AB421" s="14"/>
      <c r="AC421" s="14"/>
      <c r="AD421" s="14"/>
      <c r="AE421" s="14"/>
      <c r="AF421" s="14"/>
      <c r="AG421" s="15"/>
    </row>
    <row r="422" spans="1:33">
      <c r="A422" s="8" t="s">
        <v>546</v>
      </c>
      <c r="B422" s="9"/>
      <c r="C422" s="8"/>
      <c r="D422" s="9"/>
      <c r="E422" s="9"/>
      <c r="F422" s="8"/>
      <c r="G422" s="10"/>
      <c r="H422" s="10"/>
      <c r="I422" s="10"/>
      <c r="J422" s="10"/>
      <c r="K422" s="10"/>
      <c r="L422" s="11" t="str">
        <f>IF(COUNTBLANK(G422:K422)=5,"",IF(COUNTIF(G422:K422,"No")&gt;0,"EXCLUDE","INCLUDE"))</f>
        <v/>
      </c>
      <c r="M422" s="11" t="str">
        <f>IF(L422&lt;&gt;"EXCLUDE","",IF(G422="No","Wrong domain (non-AECO)",IF(H422="No","Digital Twin not core / buzzword",IF(I422="No","No Design for Safety/Quality/PtD",IF(J422="No","Wrong publication type",IF(K422="No","Non-English",""))))))</f>
        <v/>
      </c>
      <c r="N422" s="12"/>
      <c r="O422" s="12"/>
      <c r="P422" s="13"/>
      <c r="Q422" s="13"/>
      <c r="R422" s="13"/>
      <c r="S422" s="11" t="str">
        <f>IF(N422&lt;&gt;"Yes","",IF(COUNTBLANK(P422:R422)=3,"",IF(COUNTIF(P422:R422,"No")&gt;0,"EXCLUDE","INCLUDE")))</f>
        <v/>
      </c>
      <c r="T422" s="11" t="str">
        <f>IF(S422&lt;&gt;"EXCLUDE","",IF(P422="No","Digital Twin mentioned only, not the subject",IF(Q422="No","No Design for Safety/Quality in full text",IF(R422="No","Methodology not codable",""))))</f>
        <v/>
      </c>
      <c r="U422" s="14"/>
      <c r="V422" s="14"/>
      <c r="W422" s="14"/>
      <c r="X422" s="14"/>
      <c r="Y422" s="11" t="str">
        <f>IF(SUM(V422:X422)=0,"",IF(SUM(V422:X422)&gt;=2,"Multi","Single"))</f>
        <v/>
      </c>
      <c r="Z422" s="14"/>
      <c r="AA422" s="14"/>
      <c r="AB422" s="14"/>
      <c r="AC422" s="14"/>
      <c r="AD422" s="14"/>
      <c r="AE422" s="14"/>
      <c r="AF422" s="14"/>
      <c r="AG422" s="15"/>
    </row>
    <row r="423" spans="1:33">
      <c r="A423" s="8" t="s">
        <v>547</v>
      </c>
      <c r="B423" s="9"/>
      <c r="C423" s="8"/>
      <c r="D423" s="9"/>
      <c r="E423" s="9"/>
      <c r="F423" s="8"/>
      <c r="G423" s="10"/>
      <c r="H423" s="10"/>
      <c r="I423" s="10"/>
      <c r="J423" s="10"/>
      <c r="K423" s="10"/>
      <c r="L423" s="11" t="str">
        <f>IF(COUNTBLANK(G423:K423)=5,"",IF(COUNTIF(G423:K423,"No")&gt;0,"EXCLUDE","INCLUDE"))</f>
        <v/>
      </c>
      <c r="M423" s="11" t="str">
        <f>IF(L423&lt;&gt;"EXCLUDE","",IF(G423="No","Wrong domain (non-AECO)",IF(H423="No","Digital Twin not core / buzzword",IF(I423="No","No Design for Safety/Quality/PtD",IF(J423="No","Wrong publication type",IF(K423="No","Non-English",""))))))</f>
        <v/>
      </c>
      <c r="N423" s="12"/>
      <c r="O423" s="12"/>
      <c r="P423" s="13"/>
      <c r="Q423" s="13"/>
      <c r="R423" s="13"/>
      <c r="S423" s="11" t="str">
        <f>IF(N423&lt;&gt;"Yes","",IF(COUNTBLANK(P423:R423)=3,"",IF(COUNTIF(P423:R423,"No")&gt;0,"EXCLUDE","INCLUDE")))</f>
        <v/>
      </c>
      <c r="T423" s="11" t="str">
        <f>IF(S423&lt;&gt;"EXCLUDE","",IF(P423="No","Digital Twin mentioned only, not the subject",IF(Q423="No","No Design for Safety/Quality in full text",IF(R423="No","Methodology not codable",""))))</f>
        <v/>
      </c>
      <c r="U423" s="14"/>
      <c r="V423" s="14"/>
      <c r="W423" s="14"/>
      <c r="X423" s="14"/>
      <c r="Y423" s="11" t="str">
        <f>IF(SUM(V423:X423)=0,"",IF(SUM(V423:X423)&gt;=2,"Multi","Single"))</f>
        <v/>
      </c>
      <c r="Z423" s="14"/>
      <c r="AA423" s="14"/>
      <c r="AB423" s="14"/>
      <c r="AC423" s="14"/>
      <c r="AD423" s="14"/>
      <c r="AE423" s="14"/>
      <c r="AF423" s="14"/>
      <c r="AG423" s="15"/>
    </row>
    <row r="424" spans="1:33">
      <c r="A424" s="8" t="s">
        <v>548</v>
      </c>
      <c r="B424" s="9"/>
      <c r="C424" s="8"/>
      <c r="D424" s="9"/>
      <c r="E424" s="9"/>
      <c r="F424" s="8"/>
      <c r="G424" s="10"/>
      <c r="H424" s="10"/>
      <c r="I424" s="10"/>
      <c r="J424" s="10"/>
      <c r="K424" s="10"/>
      <c r="L424" s="11" t="str">
        <f>IF(COUNTBLANK(G424:K424)=5,"",IF(COUNTIF(G424:K424,"No")&gt;0,"EXCLUDE","INCLUDE"))</f>
        <v/>
      </c>
      <c r="M424" s="11" t="str">
        <f>IF(L424&lt;&gt;"EXCLUDE","",IF(G424="No","Wrong domain (non-AECO)",IF(H424="No","Digital Twin not core / buzzword",IF(I424="No","No Design for Safety/Quality/PtD",IF(J424="No","Wrong publication type",IF(K424="No","Non-English",""))))))</f>
        <v/>
      </c>
      <c r="N424" s="12"/>
      <c r="O424" s="12"/>
      <c r="P424" s="13"/>
      <c r="Q424" s="13"/>
      <c r="R424" s="13"/>
      <c r="S424" s="11" t="str">
        <f>IF(N424&lt;&gt;"Yes","",IF(COUNTBLANK(P424:R424)=3,"",IF(COUNTIF(P424:R424,"No")&gt;0,"EXCLUDE","INCLUDE")))</f>
        <v/>
      </c>
      <c r="T424" s="11" t="str">
        <f>IF(S424&lt;&gt;"EXCLUDE","",IF(P424="No","Digital Twin mentioned only, not the subject",IF(Q424="No","No Design for Safety/Quality in full text",IF(R424="No","Methodology not codable",""))))</f>
        <v/>
      </c>
      <c r="U424" s="14"/>
      <c r="V424" s="14"/>
      <c r="W424" s="14"/>
      <c r="X424" s="14"/>
      <c r="Y424" s="11" t="str">
        <f>IF(SUM(V424:X424)=0,"",IF(SUM(V424:X424)&gt;=2,"Multi","Single"))</f>
        <v/>
      </c>
      <c r="Z424" s="14"/>
      <c r="AA424" s="14"/>
      <c r="AB424" s="14"/>
      <c r="AC424" s="14"/>
      <c r="AD424" s="14"/>
      <c r="AE424" s="14"/>
      <c r="AF424" s="14"/>
      <c r="AG424" s="15"/>
    </row>
    <row r="425" spans="1:33">
      <c r="A425" s="8" t="s">
        <v>549</v>
      </c>
      <c r="B425" s="9"/>
      <c r="C425" s="8"/>
      <c r="D425" s="9"/>
      <c r="E425" s="9"/>
      <c r="F425" s="8"/>
      <c r="G425" s="10"/>
      <c r="H425" s="10"/>
      <c r="I425" s="10"/>
      <c r="J425" s="10"/>
      <c r="K425" s="10"/>
      <c r="L425" s="11" t="str">
        <f>IF(COUNTBLANK(G425:K425)=5,"",IF(COUNTIF(G425:K425,"No")&gt;0,"EXCLUDE","INCLUDE"))</f>
        <v/>
      </c>
      <c r="M425" s="11" t="str">
        <f>IF(L425&lt;&gt;"EXCLUDE","",IF(G425="No","Wrong domain (non-AECO)",IF(H425="No","Digital Twin not core / buzzword",IF(I425="No","No Design for Safety/Quality/PtD",IF(J425="No","Wrong publication type",IF(K425="No","Non-English",""))))))</f>
        <v/>
      </c>
      <c r="N425" s="12"/>
      <c r="O425" s="12"/>
      <c r="P425" s="13"/>
      <c r="Q425" s="13"/>
      <c r="R425" s="13"/>
      <c r="S425" s="11" t="str">
        <f>IF(N425&lt;&gt;"Yes","",IF(COUNTBLANK(P425:R425)=3,"",IF(COUNTIF(P425:R425,"No")&gt;0,"EXCLUDE","INCLUDE")))</f>
        <v/>
      </c>
      <c r="T425" s="11" t="str">
        <f>IF(S425&lt;&gt;"EXCLUDE","",IF(P425="No","Digital Twin mentioned only, not the subject",IF(Q425="No","No Design for Safety/Quality in full text",IF(R425="No","Methodology not codable",""))))</f>
        <v/>
      </c>
      <c r="U425" s="14"/>
      <c r="V425" s="14"/>
      <c r="W425" s="14"/>
      <c r="X425" s="14"/>
      <c r="Y425" s="11" t="str">
        <f>IF(SUM(V425:X425)=0,"",IF(SUM(V425:X425)&gt;=2,"Multi","Single"))</f>
        <v/>
      </c>
      <c r="Z425" s="14"/>
      <c r="AA425" s="14"/>
      <c r="AB425" s="14"/>
      <c r="AC425" s="14"/>
      <c r="AD425" s="14"/>
      <c r="AE425" s="14"/>
      <c r="AF425" s="14"/>
      <c r="AG425" s="15"/>
    </row>
    <row r="426" spans="1:33">
      <c r="A426" s="8" t="s">
        <v>550</v>
      </c>
      <c r="B426" s="9"/>
      <c r="C426" s="8"/>
      <c r="D426" s="9"/>
      <c r="E426" s="9"/>
      <c r="F426" s="8"/>
      <c r="G426" s="10"/>
      <c r="H426" s="10"/>
      <c r="I426" s="10"/>
      <c r="J426" s="10"/>
      <c r="K426" s="10"/>
      <c r="L426" s="11" t="str">
        <f>IF(COUNTBLANK(G426:K426)=5,"",IF(COUNTIF(G426:K426,"No")&gt;0,"EXCLUDE","INCLUDE"))</f>
        <v/>
      </c>
      <c r="M426" s="11" t="str">
        <f>IF(L426&lt;&gt;"EXCLUDE","",IF(G426="No","Wrong domain (non-AECO)",IF(H426="No","Digital Twin not core / buzzword",IF(I426="No","No Design for Safety/Quality/PtD",IF(J426="No","Wrong publication type",IF(K426="No","Non-English",""))))))</f>
        <v/>
      </c>
      <c r="N426" s="12"/>
      <c r="O426" s="12"/>
      <c r="P426" s="13"/>
      <c r="Q426" s="13"/>
      <c r="R426" s="13"/>
      <c r="S426" s="11" t="str">
        <f>IF(N426&lt;&gt;"Yes","",IF(COUNTBLANK(P426:R426)=3,"",IF(COUNTIF(P426:R426,"No")&gt;0,"EXCLUDE","INCLUDE")))</f>
        <v/>
      </c>
      <c r="T426" s="11" t="str">
        <f>IF(S426&lt;&gt;"EXCLUDE","",IF(P426="No","Digital Twin mentioned only, not the subject",IF(Q426="No","No Design for Safety/Quality in full text",IF(R426="No","Methodology not codable",""))))</f>
        <v/>
      </c>
      <c r="U426" s="14"/>
      <c r="V426" s="14"/>
      <c r="W426" s="14"/>
      <c r="X426" s="14"/>
      <c r="Y426" s="11" t="str">
        <f>IF(SUM(V426:X426)=0,"",IF(SUM(V426:X426)&gt;=2,"Multi","Single"))</f>
        <v/>
      </c>
      <c r="Z426" s="14"/>
      <c r="AA426" s="14"/>
      <c r="AB426" s="14"/>
      <c r="AC426" s="14"/>
      <c r="AD426" s="14"/>
      <c r="AE426" s="14"/>
      <c r="AF426" s="14"/>
      <c r="AG426" s="15"/>
    </row>
    <row r="427" spans="1:33">
      <c r="A427" s="8" t="s">
        <v>551</v>
      </c>
      <c r="B427" s="9"/>
      <c r="C427" s="8"/>
      <c r="D427" s="9"/>
      <c r="E427" s="9"/>
      <c r="F427" s="8"/>
      <c r="G427" s="10"/>
      <c r="H427" s="10"/>
      <c r="I427" s="10"/>
      <c r="J427" s="10"/>
      <c r="K427" s="10"/>
      <c r="L427" s="11" t="str">
        <f>IF(COUNTBLANK(G427:K427)=5,"",IF(COUNTIF(G427:K427,"No")&gt;0,"EXCLUDE","INCLUDE"))</f>
        <v/>
      </c>
      <c r="M427" s="11" t="str">
        <f>IF(L427&lt;&gt;"EXCLUDE","",IF(G427="No","Wrong domain (non-AECO)",IF(H427="No","Digital Twin not core / buzzword",IF(I427="No","No Design for Safety/Quality/PtD",IF(J427="No","Wrong publication type",IF(K427="No","Non-English",""))))))</f>
        <v/>
      </c>
      <c r="N427" s="12"/>
      <c r="O427" s="12"/>
      <c r="P427" s="13"/>
      <c r="Q427" s="13"/>
      <c r="R427" s="13"/>
      <c r="S427" s="11" t="str">
        <f>IF(N427&lt;&gt;"Yes","",IF(COUNTBLANK(P427:R427)=3,"",IF(COUNTIF(P427:R427,"No")&gt;0,"EXCLUDE","INCLUDE")))</f>
        <v/>
      </c>
      <c r="T427" s="11" t="str">
        <f>IF(S427&lt;&gt;"EXCLUDE","",IF(P427="No","Digital Twin mentioned only, not the subject",IF(Q427="No","No Design for Safety/Quality in full text",IF(R427="No","Methodology not codable",""))))</f>
        <v/>
      </c>
      <c r="U427" s="14"/>
      <c r="V427" s="14"/>
      <c r="W427" s="14"/>
      <c r="X427" s="14"/>
      <c r="Y427" s="11" t="str">
        <f>IF(SUM(V427:X427)=0,"",IF(SUM(V427:X427)&gt;=2,"Multi","Single"))</f>
        <v/>
      </c>
      <c r="Z427" s="14"/>
      <c r="AA427" s="14"/>
      <c r="AB427" s="14"/>
      <c r="AC427" s="14"/>
      <c r="AD427" s="14"/>
      <c r="AE427" s="14"/>
      <c r="AF427" s="14"/>
      <c r="AG427" s="15"/>
    </row>
    <row r="428" spans="1:33">
      <c r="A428" s="8" t="s">
        <v>552</v>
      </c>
      <c r="B428" s="9"/>
      <c r="C428" s="8"/>
      <c r="D428" s="9"/>
      <c r="E428" s="9"/>
      <c r="F428" s="8"/>
      <c r="G428" s="10"/>
      <c r="H428" s="10"/>
      <c r="I428" s="10"/>
      <c r="J428" s="10"/>
      <c r="K428" s="10"/>
      <c r="L428" s="11" t="str">
        <f>IF(COUNTBLANK(G428:K428)=5,"",IF(COUNTIF(G428:K428,"No")&gt;0,"EXCLUDE","INCLUDE"))</f>
        <v/>
      </c>
      <c r="M428" s="11" t="str">
        <f>IF(L428&lt;&gt;"EXCLUDE","",IF(G428="No","Wrong domain (non-AECO)",IF(H428="No","Digital Twin not core / buzzword",IF(I428="No","No Design for Safety/Quality/PtD",IF(J428="No","Wrong publication type",IF(K428="No","Non-English",""))))))</f>
        <v/>
      </c>
      <c r="N428" s="12"/>
      <c r="O428" s="12"/>
      <c r="P428" s="13"/>
      <c r="Q428" s="13"/>
      <c r="R428" s="13"/>
      <c r="S428" s="11" t="str">
        <f>IF(N428&lt;&gt;"Yes","",IF(COUNTBLANK(P428:R428)=3,"",IF(COUNTIF(P428:R428,"No")&gt;0,"EXCLUDE","INCLUDE")))</f>
        <v/>
      </c>
      <c r="T428" s="11" t="str">
        <f>IF(S428&lt;&gt;"EXCLUDE","",IF(P428="No","Digital Twin mentioned only, not the subject",IF(Q428="No","No Design for Safety/Quality in full text",IF(R428="No","Methodology not codable",""))))</f>
        <v/>
      </c>
      <c r="U428" s="14"/>
      <c r="V428" s="14"/>
      <c r="W428" s="14"/>
      <c r="X428" s="14"/>
      <c r="Y428" s="11" t="str">
        <f>IF(SUM(V428:X428)=0,"",IF(SUM(V428:X428)&gt;=2,"Multi","Single"))</f>
        <v/>
      </c>
      <c r="Z428" s="14"/>
      <c r="AA428" s="14"/>
      <c r="AB428" s="14"/>
      <c r="AC428" s="14"/>
      <c r="AD428" s="14"/>
      <c r="AE428" s="14"/>
      <c r="AF428" s="14"/>
      <c r="AG428" s="15"/>
    </row>
    <row r="429" spans="1:33">
      <c r="A429" s="8" t="s">
        <v>553</v>
      </c>
      <c r="B429" s="9"/>
      <c r="C429" s="8"/>
      <c r="D429" s="9"/>
      <c r="E429" s="9"/>
      <c r="F429" s="8"/>
      <c r="G429" s="10"/>
      <c r="H429" s="10"/>
      <c r="I429" s="10"/>
      <c r="J429" s="10"/>
      <c r="K429" s="10"/>
      <c r="L429" s="11" t="str">
        <f>IF(COUNTBLANK(G429:K429)=5,"",IF(COUNTIF(G429:K429,"No")&gt;0,"EXCLUDE","INCLUDE"))</f>
        <v/>
      </c>
      <c r="M429" s="11" t="str">
        <f>IF(L429&lt;&gt;"EXCLUDE","",IF(G429="No","Wrong domain (non-AECO)",IF(H429="No","Digital Twin not core / buzzword",IF(I429="No","No Design for Safety/Quality/PtD",IF(J429="No","Wrong publication type",IF(K429="No","Non-English",""))))))</f>
        <v/>
      </c>
      <c r="N429" s="12"/>
      <c r="O429" s="12"/>
      <c r="P429" s="13"/>
      <c r="Q429" s="13"/>
      <c r="R429" s="13"/>
      <c r="S429" s="11" t="str">
        <f>IF(N429&lt;&gt;"Yes","",IF(COUNTBLANK(P429:R429)=3,"",IF(COUNTIF(P429:R429,"No")&gt;0,"EXCLUDE","INCLUDE")))</f>
        <v/>
      </c>
      <c r="T429" s="11" t="str">
        <f>IF(S429&lt;&gt;"EXCLUDE","",IF(P429="No","Digital Twin mentioned only, not the subject",IF(Q429="No","No Design for Safety/Quality in full text",IF(R429="No","Methodology not codable",""))))</f>
        <v/>
      </c>
      <c r="U429" s="14"/>
      <c r="V429" s="14"/>
      <c r="W429" s="14"/>
      <c r="X429" s="14"/>
      <c r="Y429" s="11" t="str">
        <f>IF(SUM(V429:X429)=0,"",IF(SUM(V429:X429)&gt;=2,"Multi","Single"))</f>
        <v/>
      </c>
      <c r="Z429" s="14"/>
      <c r="AA429" s="14"/>
      <c r="AB429" s="14"/>
      <c r="AC429" s="14"/>
      <c r="AD429" s="14"/>
      <c r="AE429" s="14"/>
      <c r="AF429" s="14"/>
      <c r="AG429" s="15"/>
    </row>
    <row r="430" spans="1:33">
      <c r="A430" s="8" t="s">
        <v>554</v>
      </c>
      <c r="B430" s="9"/>
      <c r="C430" s="8"/>
      <c r="D430" s="9"/>
      <c r="E430" s="9"/>
      <c r="F430" s="8"/>
      <c r="G430" s="10"/>
      <c r="H430" s="10"/>
      <c r="I430" s="10"/>
      <c r="J430" s="10"/>
      <c r="K430" s="10"/>
      <c r="L430" s="11" t="str">
        <f>IF(COUNTBLANK(G430:K430)=5,"",IF(COUNTIF(G430:K430,"No")&gt;0,"EXCLUDE","INCLUDE"))</f>
        <v/>
      </c>
      <c r="M430" s="11" t="str">
        <f>IF(L430&lt;&gt;"EXCLUDE","",IF(G430="No","Wrong domain (non-AECO)",IF(H430="No","Digital Twin not core / buzzword",IF(I430="No","No Design for Safety/Quality/PtD",IF(J430="No","Wrong publication type",IF(K430="No","Non-English",""))))))</f>
        <v/>
      </c>
      <c r="N430" s="12"/>
      <c r="O430" s="12"/>
      <c r="P430" s="13"/>
      <c r="Q430" s="13"/>
      <c r="R430" s="13"/>
      <c r="S430" s="11" t="str">
        <f>IF(N430&lt;&gt;"Yes","",IF(COUNTBLANK(P430:R430)=3,"",IF(COUNTIF(P430:R430,"No")&gt;0,"EXCLUDE","INCLUDE")))</f>
        <v/>
      </c>
      <c r="T430" s="11" t="str">
        <f>IF(S430&lt;&gt;"EXCLUDE","",IF(P430="No","Digital Twin mentioned only, not the subject",IF(Q430="No","No Design for Safety/Quality in full text",IF(R430="No","Methodology not codable",""))))</f>
        <v/>
      </c>
      <c r="U430" s="14"/>
      <c r="V430" s="14"/>
      <c r="W430" s="14"/>
      <c r="X430" s="14"/>
      <c r="Y430" s="11" t="str">
        <f>IF(SUM(V430:X430)=0,"",IF(SUM(V430:X430)&gt;=2,"Multi","Single"))</f>
        <v/>
      </c>
      <c r="Z430" s="14"/>
      <c r="AA430" s="14"/>
      <c r="AB430" s="14"/>
      <c r="AC430" s="14"/>
      <c r="AD430" s="14"/>
      <c r="AE430" s="14"/>
      <c r="AF430" s="14"/>
      <c r="AG430" s="15"/>
    </row>
    <row r="431" spans="1:33">
      <c r="A431" s="8" t="s">
        <v>555</v>
      </c>
      <c r="B431" s="9"/>
      <c r="C431" s="8"/>
      <c r="D431" s="9"/>
      <c r="E431" s="9"/>
      <c r="F431" s="8"/>
      <c r="G431" s="10"/>
      <c r="H431" s="10"/>
      <c r="I431" s="10"/>
      <c r="J431" s="10"/>
      <c r="K431" s="10"/>
      <c r="L431" s="11" t="str">
        <f>IF(COUNTBLANK(G431:K431)=5,"",IF(COUNTIF(G431:K431,"No")&gt;0,"EXCLUDE","INCLUDE"))</f>
        <v/>
      </c>
      <c r="M431" s="11" t="str">
        <f>IF(L431&lt;&gt;"EXCLUDE","",IF(G431="No","Wrong domain (non-AECO)",IF(H431="No","Digital Twin not core / buzzword",IF(I431="No","No Design for Safety/Quality/PtD",IF(J431="No","Wrong publication type",IF(K431="No","Non-English",""))))))</f>
        <v/>
      </c>
      <c r="N431" s="12"/>
      <c r="O431" s="12"/>
      <c r="P431" s="13"/>
      <c r="Q431" s="13"/>
      <c r="R431" s="13"/>
      <c r="S431" s="11" t="str">
        <f>IF(N431&lt;&gt;"Yes","",IF(COUNTBLANK(P431:R431)=3,"",IF(COUNTIF(P431:R431,"No")&gt;0,"EXCLUDE","INCLUDE")))</f>
        <v/>
      </c>
      <c r="T431" s="11" t="str">
        <f>IF(S431&lt;&gt;"EXCLUDE","",IF(P431="No","Digital Twin mentioned only, not the subject",IF(Q431="No","No Design for Safety/Quality in full text",IF(R431="No","Methodology not codable",""))))</f>
        <v/>
      </c>
      <c r="U431" s="14"/>
      <c r="V431" s="14"/>
      <c r="W431" s="14"/>
      <c r="X431" s="14"/>
      <c r="Y431" s="11" t="str">
        <f>IF(SUM(V431:X431)=0,"",IF(SUM(V431:X431)&gt;=2,"Multi","Single"))</f>
        <v/>
      </c>
      <c r="Z431" s="14"/>
      <c r="AA431" s="14"/>
      <c r="AB431" s="14"/>
      <c r="AC431" s="14"/>
      <c r="AD431" s="14"/>
      <c r="AE431" s="14"/>
      <c r="AF431" s="14"/>
      <c r="AG431" s="15"/>
    </row>
    <row r="432" spans="1:33">
      <c r="A432" s="8" t="s">
        <v>556</v>
      </c>
      <c r="B432" s="9"/>
      <c r="C432" s="8"/>
      <c r="D432" s="9"/>
      <c r="E432" s="9"/>
      <c r="F432" s="8"/>
      <c r="G432" s="10"/>
      <c r="H432" s="10"/>
      <c r="I432" s="10"/>
      <c r="J432" s="10"/>
      <c r="K432" s="10"/>
      <c r="L432" s="11" t="str">
        <f>IF(COUNTBLANK(G432:K432)=5,"",IF(COUNTIF(G432:K432,"No")&gt;0,"EXCLUDE","INCLUDE"))</f>
        <v/>
      </c>
      <c r="M432" s="11" t="str">
        <f>IF(L432&lt;&gt;"EXCLUDE","",IF(G432="No","Wrong domain (non-AECO)",IF(H432="No","Digital Twin not core / buzzword",IF(I432="No","No Design for Safety/Quality/PtD",IF(J432="No","Wrong publication type",IF(K432="No","Non-English",""))))))</f>
        <v/>
      </c>
      <c r="N432" s="12"/>
      <c r="O432" s="12"/>
      <c r="P432" s="13"/>
      <c r="Q432" s="13"/>
      <c r="R432" s="13"/>
      <c r="S432" s="11" t="str">
        <f>IF(N432&lt;&gt;"Yes","",IF(COUNTBLANK(P432:R432)=3,"",IF(COUNTIF(P432:R432,"No")&gt;0,"EXCLUDE","INCLUDE")))</f>
        <v/>
      </c>
      <c r="T432" s="11" t="str">
        <f>IF(S432&lt;&gt;"EXCLUDE","",IF(P432="No","Digital Twin mentioned only, not the subject",IF(Q432="No","No Design for Safety/Quality in full text",IF(R432="No","Methodology not codable",""))))</f>
        <v/>
      </c>
      <c r="U432" s="14"/>
      <c r="V432" s="14"/>
      <c r="W432" s="14"/>
      <c r="X432" s="14"/>
      <c r="Y432" s="11" t="str">
        <f>IF(SUM(V432:X432)=0,"",IF(SUM(V432:X432)&gt;=2,"Multi","Single"))</f>
        <v/>
      </c>
      <c r="Z432" s="14"/>
      <c r="AA432" s="14"/>
      <c r="AB432" s="14"/>
      <c r="AC432" s="14"/>
      <c r="AD432" s="14"/>
      <c r="AE432" s="14"/>
      <c r="AF432" s="14"/>
      <c r="AG432" s="15"/>
    </row>
    <row r="433" spans="1:33">
      <c r="A433" s="8" t="s">
        <v>557</v>
      </c>
      <c r="B433" s="9"/>
      <c r="C433" s="8"/>
      <c r="D433" s="9"/>
      <c r="E433" s="9"/>
      <c r="F433" s="8"/>
      <c r="G433" s="10"/>
      <c r="H433" s="10"/>
      <c r="I433" s="10"/>
      <c r="J433" s="10"/>
      <c r="K433" s="10"/>
      <c r="L433" s="11" t="str">
        <f>IF(COUNTBLANK(G433:K433)=5,"",IF(COUNTIF(G433:K433,"No")&gt;0,"EXCLUDE","INCLUDE"))</f>
        <v/>
      </c>
      <c r="M433" s="11" t="str">
        <f>IF(L433&lt;&gt;"EXCLUDE","",IF(G433="No","Wrong domain (non-AECO)",IF(H433="No","Digital Twin not core / buzzword",IF(I433="No","No Design for Safety/Quality/PtD",IF(J433="No","Wrong publication type",IF(K433="No","Non-English",""))))))</f>
        <v/>
      </c>
      <c r="N433" s="12"/>
      <c r="O433" s="12"/>
      <c r="P433" s="13"/>
      <c r="Q433" s="13"/>
      <c r="R433" s="13"/>
      <c r="S433" s="11" t="str">
        <f>IF(N433&lt;&gt;"Yes","",IF(COUNTBLANK(P433:R433)=3,"",IF(COUNTIF(P433:R433,"No")&gt;0,"EXCLUDE","INCLUDE")))</f>
        <v/>
      </c>
      <c r="T433" s="11" t="str">
        <f>IF(S433&lt;&gt;"EXCLUDE","",IF(P433="No","Digital Twin mentioned only, not the subject",IF(Q433="No","No Design for Safety/Quality in full text",IF(R433="No","Methodology not codable",""))))</f>
        <v/>
      </c>
      <c r="U433" s="14"/>
      <c r="V433" s="14"/>
      <c r="W433" s="14"/>
      <c r="X433" s="14"/>
      <c r="Y433" s="11" t="str">
        <f>IF(SUM(V433:X433)=0,"",IF(SUM(V433:X433)&gt;=2,"Multi","Single"))</f>
        <v/>
      </c>
      <c r="Z433" s="14"/>
      <c r="AA433" s="14"/>
      <c r="AB433" s="14"/>
      <c r="AC433" s="14"/>
      <c r="AD433" s="14"/>
      <c r="AE433" s="14"/>
      <c r="AF433" s="14"/>
      <c r="AG433" s="15"/>
    </row>
    <row r="434" spans="1:33">
      <c r="A434" s="8" t="s">
        <v>558</v>
      </c>
      <c r="B434" s="9"/>
      <c r="C434" s="8"/>
      <c r="D434" s="9"/>
      <c r="E434" s="9"/>
      <c r="F434" s="8"/>
      <c r="G434" s="10"/>
      <c r="H434" s="10"/>
      <c r="I434" s="10"/>
      <c r="J434" s="10"/>
      <c r="K434" s="10"/>
      <c r="L434" s="11" t="str">
        <f>IF(COUNTBLANK(G434:K434)=5,"",IF(COUNTIF(G434:K434,"No")&gt;0,"EXCLUDE","INCLUDE"))</f>
        <v/>
      </c>
      <c r="M434" s="11" t="str">
        <f>IF(L434&lt;&gt;"EXCLUDE","",IF(G434="No","Wrong domain (non-AECO)",IF(H434="No","Digital Twin not core / buzzword",IF(I434="No","No Design for Safety/Quality/PtD",IF(J434="No","Wrong publication type",IF(K434="No","Non-English",""))))))</f>
        <v/>
      </c>
      <c r="N434" s="12"/>
      <c r="O434" s="12"/>
      <c r="P434" s="13"/>
      <c r="Q434" s="13"/>
      <c r="R434" s="13"/>
      <c r="S434" s="11" t="str">
        <f>IF(N434&lt;&gt;"Yes","",IF(COUNTBLANK(P434:R434)=3,"",IF(COUNTIF(P434:R434,"No")&gt;0,"EXCLUDE","INCLUDE")))</f>
        <v/>
      </c>
      <c r="T434" s="11" t="str">
        <f>IF(S434&lt;&gt;"EXCLUDE","",IF(P434="No","Digital Twin mentioned only, not the subject",IF(Q434="No","No Design for Safety/Quality in full text",IF(R434="No","Methodology not codable",""))))</f>
        <v/>
      </c>
      <c r="U434" s="14"/>
      <c r="V434" s="14"/>
      <c r="W434" s="14"/>
      <c r="X434" s="14"/>
      <c r="Y434" s="11" t="str">
        <f>IF(SUM(V434:X434)=0,"",IF(SUM(V434:X434)&gt;=2,"Multi","Single"))</f>
        <v/>
      </c>
      <c r="Z434" s="14"/>
      <c r="AA434" s="14"/>
      <c r="AB434" s="14"/>
      <c r="AC434" s="14"/>
      <c r="AD434" s="14"/>
      <c r="AE434" s="14"/>
      <c r="AF434" s="14"/>
      <c r="AG434" s="15"/>
    </row>
    <row r="435" spans="1:33">
      <c r="A435" s="8" t="s">
        <v>559</v>
      </c>
      <c r="B435" s="9"/>
      <c r="C435" s="8"/>
      <c r="D435" s="9"/>
      <c r="E435" s="9"/>
      <c r="F435" s="8"/>
      <c r="G435" s="10"/>
      <c r="H435" s="10"/>
      <c r="I435" s="10"/>
      <c r="J435" s="10"/>
      <c r="K435" s="10"/>
      <c r="L435" s="11" t="str">
        <f>IF(COUNTBLANK(G435:K435)=5,"",IF(COUNTIF(G435:K435,"No")&gt;0,"EXCLUDE","INCLUDE"))</f>
        <v/>
      </c>
      <c r="M435" s="11" t="str">
        <f>IF(L435&lt;&gt;"EXCLUDE","",IF(G435="No","Wrong domain (non-AECO)",IF(H435="No","Digital Twin not core / buzzword",IF(I435="No","No Design for Safety/Quality/PtD",IF(J435="No","Wrong publication type",IF(K435="No","Non-English",""))))))</f>
        <v/>
      </c>
      <c r="N435" s="12"/>
      <c r="O435" s="12"/>
      <c r="P435" s="13"/>
      <c r="Q435" s="13"/>
      <c r="R435" s="13"/>
      <c r="S435" s="11" t="str">
        <f>IF(N435&lt;&gt;"Yes","",IF(COUNTBLANK(P435:R435)=3,"",IF(COUNTIF(P435:R435,"No")&gt;0,"EXCLUDE","INCLUDE")))</f>
        <v/>
      </c>
      <c r="T435" s="11" t="str">
        <f>IF(S435&lt;&gt;"EXCLUDE","",IF(P435="No","Digital Twin mentioned only, not the subject",IF(Q435="No","No Design for Safety/Quality in full text",IF(R435="No","Methodology not codable",""))))</f>
        <v/>
      </c>
      <c r="U435" s="14"/>
      <c r="V435" s="14"/>
      <c r="W435" s="14"/>
      <c r="X435" s="14"/>
      <c r="Y435" s="11" t="str">
        <f>IF(SUM(V435:X435)=0,"",IF(SUM(V435:X435)&gt;=2,"Multi","Single"))</f>
        <v/>
      </c>
      <c r="Z435" s="14"/>
      <c r="AA435" s="14"/>
      <c r="AB435" s="14"/>
      <c r="AC435" s="14"/>
      <c r="AD435" s="14"/>
      <c r="AE435" s="14"/>
      <c r="AF435" s="14"/>
      <c r="AG435" s="15"/>
    </row>
    <row r="436" spans="1:33">
      <c r="A436" s="8" t="s">
        <v>560</v>
      </c>
      <c r="B436" s="9"/>
      <c r="C436" s="8"/>
      <c r="D436" s="9"/>
      <c r="E436" s="9"/>
      <c r="F436" s="8"/>
      <c r="G436" s="10"/>
      <c r="H436" s="10"/>
      <c r="I436" s="10"/>
      <c r="J436" s="10"/>
      <c r="K436" s="10"/>
      <c r="L436" s="11" t="str">
        <f>IF(COUNTBLANK(G436:K436)=5,"",IF(COUNTIF(G436:K436,"No")&gt;0,"EXCLUDE","INCLUDE"))</f>
        <v/>
      </c>
      <c r="M436" s="11" t="str">
        <f>IF(L436&lt;&gt;"EXCLUDE","",IF(G436="No","Wrong domain (non-AECO)",IF(H436="No","Digital Twin not core / buzzword",IF(I436="No","No Design for Safety/Quality/PtD",IF(J436="No","Wrong publication type",IF(K436="No","Non-English",""))))))</f>
        <v/>
      </c>
      <c r="N436" s="12"/>
      <c r="O436" s="12"/>
      <c r="P436" s="13"/>
      <c r="Q436" s="13"/>
      <c r="R436" s="13"/>
      <c r="S436" s="11" t="str">
        <f>IF(N436&lt;&gt;"Yes","",IF(COUNTBLANK(P436:R436)=3,"",IF(COUNTIF(P436:R436,"No")&gt;0,"EXCLUDE","INCLUDE")))</f>
        <v/>
      </c>
      <c r="T436" s="11" t="str">
        <f>IF(S436&lt;&gt;"EXCLUDE","",IF(P436="No","Digital Twin mentioned only, not the subject",IF(Q436="No","No Design for Safety/Quality in full text",IF(R436="No","Methodology not codable",""))))</f>
        <v/>
      </c>
      <c r="U436" s="14"/>
      <c r="V436" s="14"/>
      <c r="W436" s="14"/>
      <c r="X436" s="14"/>
      <c r="Y436" s="11" t="str">
        <f>IF(SUM(V436:X436)=0,"",IF(SUM(V436:X436)&gt;=2,"Multi","Single"))</f>
        <v/>
      </c>
      <c r="Z436" s="14"/>
      <c r="AA436" s="14"/>
      <c r="AB436" s="14"/>
      <c r="AC436" s="14"/>
      <c r="AD436" s="14"/>
      <c r="AE436" s="14"/>
      <c r="AF436" s="14"/>
      <c r="AG436" s="15"/>
    </row>
    <row r="437" spans="1:33">
      <c r="A437" s="8" t="s">
        <v>561</v>
      </c>
      <c r="B437" s="9"/>
      <c r="C437" s="8"/>
      <c r="D437" s="9"/>
      <c r="E437" s="9"/>
      <c r="F437" s="8"/>
      <c r="G437" s="10"/>
      <c r="H437" s="10"/>
      <c r="I437" s="10"/>
      <c r="J437" s="10"/>
      <c r="K437" s="10"/>
      <c r="L437" s="11" t="str">
        <f>IF(COUNTBLANK(G437:K437)=5,"",IF(COUNTIF(G437:K437,"No")&gt;0,"EXCLUDE","INCLUDE"))</f>
        <v/>
      </c>
      <c r="M437" s="11" t="str">
        <f>IF(L437&lt;&gt;"EXCLUDE","",IF(G437="No","Wrong domain (non-AECO)",IF(H437="No","Digital Twin not core / buzzword",IF(I437="No","No Design for Safety/Quality/PtD",IF(J437="No","Wrong publication type",IF(K437="No","Non-English",""))))))</f>
        <v/>
      </c>
      <c r="N437" s="12"/>
      <c r="O437" s="12"/>
      <c r="P437" s="13"/>
      <c r="Q437" s="13"/>
      <c r="R437" s="13"/>
      <c r="S437" s="11" t="str">
        <f>IF(N437&lt;&gt;"Yes","",IF(COUNTBLANK(P437:R437)=3,"",IF(COUNTIF(P437:R437,"No")&gt;0,"EXCLUDE","INCLUDE")))</f>
        <v/>
      </c>
      <c r="T437" s="11" t="str">
        <f>IF(S437&lt;&gt;"EXCLUDE","",IF(P437="No","Digital Twin mentioned only, not the subject",IF(Q437="No","No Design for Safety/Quality in full text",IF(R437="No","Methodology not codable",""))))</f>
        <v/>
      </c>
      <c r="U437" s="14"/>
      <c r="V437" s="14"/>
      <c r="W437" s="14"/>
      <c r="X437" s="14"/>
      <c r="Y437" s="11" t="str">
        <f>IF(SUM(V437:X437)=0,"",IF(SUM(V437:X437)&gt;=2,"Multi","Single"))</f>
        <v/>
      </c>
      <c r="Z437" s="14"/>
      <c r="AA437" s="14"/>
      <c r="AB437" s="14"/>
      <c r="AC437" s="14"/>
      <c r="AD437" s="14"/>
      <c r="AE437" s="14"/>
      <c r="AF437" s="14"/>
      <c r="AG437" s="15"/>
    </row>
    <row r="438" spans="1:33">
      <c r="A438" s="8" t="s">
        <v>562</v>
      </c>
      <c r="B438" s="9"/>
      <c r="C438" s="8"/>
      <c r="D438" s="9"/>
      <c r="E438" s="9"/>
      <c r="F438" s="8"/>
      <c r="G438" s="10"/>
      <c r="H438" s="10"/>
      <c r="I438" s="10"/>
      <c r="J438" s="10"/>
      <c r="K438" s="10"/>
      <c r="L438" s="11" t="str">
        <f>IF(COUNTBLANK(G438:K438)=5,"",IF(COUNTIF(G438:K438,"No")&gt;0,"EXCLUDE","INCLUDE"))</f>
        <v/>
      </c>
      <c r="M438" s="11" t="str">
        <f>IF(L438&lt;&gt;"EXCLUDE","",IF(G438="No","Wrong domain (non-AECO)",IF(H438="No","Digital Twin not core / buzzword",IF(I438="No","No Design for Safety/Quality/PtD",IF(J438="No","Wrong publication type",IF(K438="No","Non-English",""))))))</f>
        <v/>
      </c>
      <c r="N438" s="12"/>
      <c r="O438" s="12"/>
      <c r="P438" s="13"/>
      <c r="Q438" s="13"/>
      <c r="R438" s="13"/>
      <c r="S438" s="11" t="str">
        <f>IF(N438&lt;&gt;"Yes","",IF(COUNTBLANK(P438:R438)=3,"",IF(COUNTIF(P438:R438,"No")&gt;0,"EXCLUDE","INCLUDE")))</f>
        <v/>
      </c>
      <c r="T438" s="11" t="str">
        <f>IF(S438&lt;&gt;"EXCLUDE","",IF(P438="No","Digital Twin mentioned only, not the subject",IF(Q438="No","No Design for Safety/Quality in full text",IF(R438="No","Methodology not codable",""))))</f>
        <v/>
      </c>
      <c r="U438" s="14"/>
      <c r="V438" s="14"/>
      <c r="W438" s="14"/>
      <c r="X438" s="14"/>
      <c r="Y438" s="11" t="str">
        <f>IF(SUM(V438:X438)=0,"",IF(SUM(V438:X438)&gt;=2,"Multi","Single"))</f>
        <v/>
      </c>
      <c r="Z438" s="14"/>
      <c r="AA438" s="14"/>
      <c r="AB438" s="14"/>
      <c r="AC438" s="14"/>
      <c r="AD438" s="14"/>
      <c r="AE438" s="14"/>
      <c r="AF438" s="14"/>
      <c r="AG438" s="15"/>
    </row>
    <row r="439" spans="1:33">
      <c r="A439" s="8" t="s">
        <v>563</v>
      </c>
      <c r="B439" s="9"/>
      <c r="C439" s="8"/>
      <c r="D439" s="9"/>
      <c r="E439" s="9"/>
      <c r="F439" s="8"/>
      <c r="G439" s="10"/>
      <c r="H439" s="10"/>
      <c r="I439" s="10"/>
      <c r="J439" s="10"/>
      <c r="K439" s="10"/>
      <c r="L439" s="11" t="str">
        <f>IF(COUNTBLANK(G439:K439)=5,"",IF(COUNTIF(G439:K439,"No")&gt;0,"EXCLUDE","INCLUDE"))</f>
        <v/>
      </c>
      <c r="M439" s="11" t="str">
        <f>IF(L439&lt;&gt;"EXCLUDE","",IF(G439="No","Wrong domain (non-AECO)",IF(H439="No","Digital Twin not core / buzzword",IF(I439="No","No Design for Safety/Quality/PtD",IF(J439="No","Wrong publication type",IF(K439="No","Non-English",""))))))</f>
        <v/>
      </c>
      <c r="N439" s="12"/>
      <c r="O439" s="12"/>
      <c r="P439" s="13"/>
      <c r="Q439" s="13"/>
      <c r="R439" s="13"/>
      <c r="S439" s="11" t="str">
        <f>IF(N439&lt;&gt;"Yes","",IF(COUNTBLANK(P439:R439)=3,"",IF(COUNTIF(P439:R439,"No")&gt;0,"EXCLUDE","INCLUDE")))</f>
        <v/>
      </c>
      <c r="T439" s="11" t="str">
        <f>IF(S439&lt;&gt;"EXCLUDE","",IF(P439="No","Digital Twin mentioned only, not the subject",IF(Q439="No","No Design for Safety/Quality in full text",IF(R439="No","Methodology not codable",""))))</f>
        <v/>
      </c>
      <c r="U439" s="14"/>
      <c r="V439" s="14"/>
      <c r="W439" s="14"/>
      <c r="X439" s="14"/>
      <c r="Y439" s="11" t="str">
        <f>IF(SUM(V439:X439)=0,"",IF(SUM(V439:X439)&gt;=2,"Multi","Single"))</f>
        <v/>
      </c>
      <c r="Z439" s="14"/>
      <c r="AA439" s="14"/>
      <c r="AB439" s="14"/>
      <c r="AC439" s="14"/>
      <c r="AD439" s="14"/>
      <c r="AE439" s="14"/>
      <c r="AF439" s="14"/>
      <c r="AG439" s="15"/>
    </row>
    <row r="440" spans="1:33">
      <c r="A440" s="8" t="s">
        <v>564</v>
      </c>
      <c r="B440" s="9"/>
      <c r="C440" s="8"/>
      <c r="D440" s="9"/>
      <c r="E440" s="9"/>
      <c r="F440" s="8"/>
      <c r="G440" s="10"/>
      <c r="H440" s="10"/>
      <c r="I440" s="10"/>
      <c r="J440" s="10"/>
      <c r="K440" s="10"/>
      <c r="L440" s="11" t="str">
        <f>IF(COUNTBLANK(G440:K440)=5,"",IF(COUNTIF(G440:K440,"No")&gt;0,"EXCLUDE","INCLUDE"))</f>
        <v/>
      </c>
      <c r="M440" s="11" t="str">
        <f>IF(L440&lt;&gt;"EXCLUDE","",IF(G440="No","Wrong domain (non-AECO)",IF(H440="No","Digital Twin not core / buzzword",IF(I440="No","No Design for Safety/Quality/PtD",IF(J440="No","Wrong publication type",IF(K440="No","Non-English",""))))))</f>
        <v/>
      </c>
      <c r="N440" s="12"/>
      <c r="O440" s="12"/>
      <c r="P440" s="13"/>
      <c r="Q440" s="13"/>
      <c r="R440" s="13"/>
      <c r="S440" s="11" t="str">
        <f>IF(N440&lt;&gt;"Yes","",IF(COUNTBLANK(P440:R440)=3,"",IF(COUNTIF(P440:R440,"No")&gt;0,"EXCLUDE","INCLUDE")))</f>
        <v/>
      </c>
      <c r="T440" s="11" t="str">
        <f>IF(S440&lt;&gt;"EXCLUDE","",IF(P440="No","Digital Twin mentioned only, not the subject",IF(Q440="No","No Design for Safety/Quality in full text",IF(R440="No","Methodology not codable",""))))</f>
        <v/>
      </c>
      <c r="U440" s="14"/>
      <c r="V440" s="14"/>
      <c r="W440" s="14"/>
      <c r="X440" s="14"/>
      <c r="Y440" s="11" t="str">
        <f>IF(SUM(V440:X440)=0,"",IF(SUM(V440:X440)&gt;=2,"Multi","Single"))</f>
        <v/>
      </c>
      <c r="Z440" s="14"/>
      <c r="AA440" s="14"/>
      <c r="AB440" s="14"/>
      <c r="AC440" s="14"/>
      <c r="AD440" s="14"/>
      <c r="AE440" s="14"/>
      <c r="AF440" s="14"/>
      <c r="AG440" s="15"/>
    </row>
    <row r="441" spans="1:33">
      <c r="A441" s="8" t="s">
        <v>565</v>
      </c>
      <c r="B441" s="9"/>
      <c r="C441" s="8"/>
      <c r="D441" s="9"/>
      <c r="E441" s="9"/>
      <c r="F441" s="8"/>
      <c r="G441" s="10"/>
      <c r="H441" s="10"/>
      <c r="I441" s="10"/>
      <c r="J441" s="10"/>
      <c r="K441" s="10"/>
      <c r="L441" s="11" t="str">
        <f>IF(COUNTBLANK(G441:K441)=5,"",IF(COUNTIF(G441:K441,"No")&gt;0,"EXCLUDE","INCLUDE"))</f>
        <v/>
      </c>
      <c r="M441" s="11" t="str">
        <f>IF(L441&lt;&gt;"EXCLUDE","",IF(G441="No","Wrong domain (non-AECO)",IF(H441="No","Digital Twin not core / buzzword",IF(I441="No","No Design for Safety/Quality/PtD",IF(J441="No","Wrong publication type",IF(K441="No","Non-English",""))))))</f>
        <v/>
      </c>
      <c r="N441" s="12"/>
      <c r="O441" s="12"/>
      <c r="P441" s="13"/>
      <c r="Q441" s="13"/>
      <c r="R441" s="13"/>
      <c r="S441" s="11" t="str">
        <f>IF(N441&lt;&gt;"Yes","",IF(COUNTBLANK(P441:R441)=3,"",IF(COUNTIF(P441:R441,"No")&gt;0,"EXCLUDE","INCLUDE")))</f>
        <v/>
      </c>
      <c r="T441" s="11" t="str">
        <f>IF(S441&lt;&gt;"EXCLUDE","",IF(P441="No","Digital Twin mentioned only, not the subject",IF(Q441="No","No Design for Safety/Quality in full text",IF(R441="No","Methodology not codable",""))))</f>
        <v/>
      </c>
      <c r="U441" s="14"/>
      <c r="V441" s="14"/>
      <c r="W441" s="14"/>
      <c r="X441" s="14"/>
      <c r="Y441" s="11" t="str">
        <f>IF(SUM(V441:X441)=0,"",IF(SUM(V441:X441)&gt;=2,"Multi","Single"))</f>
        <v/>
      </c>
      <c r="Z441" s="14"/>
      <c r="AA441" s="14"/>
      <c r="AB441" s="14"/>
      <c r="AC441" s="14"/>
      <c r="AD441" s="14"/>
      <c r="AE441" s="14"/>
      <c r="AF441" s="14"/>
      <c r="AG441" s="15"/>
    </row>
    <row r="442" spans="1:33">
      <c r="A442" s="8" t="s">
        <v>566</v>
      </c>
      <c r="B442" s="9"/>
      <c r="C442" s="8"/>
      <c r="D442" s="9"/>
      <c r="E442" s="9"/>
      <c r="F442" s="8"/>
      <c r="G442" s="10"/>
      <c r="H442" s="10"/>
      <c r="I442" s="10"/>
      <c r="J442" s="10"/>
      <c r="K442" s="10"/>
      <c r="L442" s="11" t="str">
        <f>IF(COUNTBLANK(G442:K442)=5,"",IF(COUNTIF(G442:K442,"No")&gt;0,"EXCLUDE","INCLUDE"))</f>
        <v/>
      </c>
      <c r="M442" s="11" t="str">
        <f>IF(L442&lt;&gt;"EXCLUDE","",IF(G442="No","Wrong domain (non-AECO)",IF(H442="No","Digital Twin not core / buzzword",IF(I442="No","No Design for Safety/Quality/PtD",IF(J442="No","Wrong publication type",IF(K442="No","Non-English",""))))))</f>
        <v/>
      </c>
      <c r="N442" s="12"/>
      <c r="O442" s="12"/>
      <c r="P442" s="13"/>
      <c r="Q442" s="13"/>
      <c r="R442" s="13"/>
      <c r="S442" s="11" t="str">
        <f>IF(N442&lt;&gt;"Yes","",IF(COUNTBLANK(P442:R442)=3,"",IF(COUNTIF(P442:R442,"No")&gt;0,"EXCLUDE","INCLUDE")))</f>
        <v/>
      </c>
      <c r="T442" s="11" t="str">
        <f>IF(S442&lt;&gt;"EXCLUDE","",IF(P442="No","Digital Twin mentioned only, not the subject",IF(Q442="No","No Design for Safety/Quality in full text",IF(R442="No","Methodology not codable",""))))</f>
        <v/>
      </c>
      <c r="U442" s="14"/>
      <c r="V442" s="14"/>
      <c r="W442" s="14"/>
      <c r="X442" s="14"/>
      <c r="Y442" s="11" t="str">
        <f>IF(SUM(V442:X442)=0,"",IF(SUM(V442:X442)&gt;=2,"Multi","Single"))</f>
        <v/>
      </c>
      <c r="Z442" s="14"/>
      <c r="AA442" s="14"/>
      <c r="AB442" s="14"/>
      <c r="AC442" s="14"/>
      <c r="AD442" s="14"/>
      <c r="AE442" s="14"/>
      <c r="AF442" s="14"/>
      <c r="AG442" s="15"/>
    </row>
    <row r="443" spans="1:33">
      <c r="A443" s="8" t="s">
        <v>567</v>
      </c>
      <c r="B443" s="9"/>
      <c r="C443" s="8"/>
      <c r="D443" s="9"/>
      <c r="E443" s="9"/>
      <c r="F443" s="8"/>
      <c r="G443" s="10"/>
      <c r="H443" s="10"/>
      <c r="I443" s="10"/>
      <c r="J443" s="10"/>
      <c r="K443" s="10"/>
      <c r="L443" s="11" t="str">
        <f>IF(COUNTBLANK(G443:K443)=5,"",IF(COUNTIF(G443:K443,"No")&gt;0,"EXCLUDE","INCLUDE"))</f>
        <v/>
      </c>
      <c r="M443" s="11" t="str">
        <f>IF(L443&lt;&gt;"EXCLUDE","",IF(G443="No","Wrong domain (non-AECO)",IF(H443="No","Digital Twin not core / buzzword",IF(I443="No","No Design for Safety/Quality/PtD",IF(J443="No","Wrong publication type",IF(K443="No","Non-English",""))))))</f>
        <v/>
      </c>
      <c r="N443" s="12"/>
      <c r="O443" s="12"/>
      <c r="P443" s="13"/>
      <c r="Q443" s="13"/>
      <c r="R443" s="13"/>
      <c r="S443" s="11" t="str">
        <f>IF(N443&lt;&gt;"Yes","",IF(COUNTBLANK(P443:R443)=3,"",IF(COUNTIF(P443:R443,"No")&gt;0,"EXCLUDE","INCLUDE")))</f>
        <v/>
      </c>
      <c r="T443" s="11" t="str">
        <f>IF(S443&lt;&gt;"EXCLUDE","",IF(P443="No","Digital Twin mentioned only, not the subject",IF(Q443="No","No Design for Safety/Quality in full text",IF(R443="No","Methodology not codable",""))))</f>
        <v/>
      </c>
      <c r="U443" s="14"/>
      <c r="V443" s="14"/>
      <c r="W443" s="14"/>
      <c r="X443" s="14"/>
      <c r="Y443" s="11" t="str">
        <f>IF(SUM(V443:X443)=0,"",IF(SUM(V443:X443)&gt;=2,"Multi","Single"))</f>
        <v/>
      </c>
      <c r="Z443" s="14"/>
      <c r="AA443" s="14"/>
      <c r="AB443" s="14"/>
      <c r="AC443" s="14"/>
      <c r="AD443" s="14"/>
      <c r="AE443" s="14"/>
      <c r="AF443" s="14"/>
      <c r="AG443" s="15"/>
    </row>
    <row r="444" spans="1:33">
      <c r="A444" s="8" t="s">
        <v>568</v>
      </c>
      <c r="B444" s="9"/>
      <c r="C444" s="8"/>
      <c r="D444" s="9"/>
      <c r="E444" s="9"/>
      <c r="F444" s="8"/>
      <c r="G444" s="10"/>
      <c r="H444" s="10"/>
      <c r="I444" s="10"/>
      <c r="J444" s="10"/>
      <c r="K444" s="10"/>
      <c r="L444" s="11" t="str">
        <f>IF(COUNTBLANK(G444:K444)=5,"",IF(COUNTIF(G444:K444,"No")&gt;0,"EXCLUDE","INCLUDE"))</f>
        <v/>
      </c>
      <c r="M444" s="11" t="str">
        <f>IF(L444&lt;&gt;"EXCLUDE","",IF(G444="No","Wrong domain (non-AECO)",IF(H444="No","Digital Twin not core / buzzword",IF(I444="No","No Design for Safety/Quality/PtD",IF(J444="No","Wrong publication type",IF(K444="No","Non-English",""))))))</f>
        <v/>
      </c>
      <c r="N444" s="12"/>
      <c r="O444" s="12"/>
      <c r="P444" s="13"/>
      <c r="Q444" s="13"/>
      <c r="R444" s="13"/>
      <c r="S444" s="11" t="str">
        <f>IF(N444&lt;&gt;"Yes","",IF(COUNTBLANK(P444:R444)=3,"",IF(COUNTIF(P444:R444,"No")&gt;0,"EXCLUDE","INCLUDE")))</f>
        <v/>
      </c>
      <c r="T444" s="11" t="str">
        <f>IF(S444&lt;&gt;"EXCLUDE","",IF(P444="No","Digital Twin mentioned only, not the subject",IF(Q444="No","No Design for Safety/Quality in full text",IF(R444="No","Methodology not codable",""))))</f>
        <v/>
      </c>
      <c r="U444" s="14"/>
      <c r="V444" s="14"/>
      <c r="W444" s="14"/>
      <c r="X444" s="14"/>
      <c r="Y444" s="11" t="str">
        <f>IF(SUM(V444:X444)=0,"",IF(SUM(V444:X444)&gt;=2,"Multi","Single"))</f>
        <v/>
      </c>
      <c r="Z444" s="14"/>
      <c r="AA444" s="14"/>
      <c r="AB444" s="14"/>
      <c r="AC444" s="14"/>
      <c r="AD444" s="14"/>
      <c r="AE444" s="14"/>
      <c r="AF444" s="14"/>
      <c r="AG444" s="15"/>
    </row>
    <row r="445" spans="1:33">
      <c r="A445" s="8" t="s">
        <v>569</v>
      </c>
      <c r="B445" s="9"/>
      <c r="C445" s="8"/>
      <c r="D445" s="9"/>
      <c r="E445" s="9"/>
      <c r="F445" s="8"/>
      <c r="G445" s="10"/>
      <c r="H445" s="10"/>
      <c r="I445" s="10"/>
      <c r="J445" s="10"/>
      <c r="K445" s="10"/>
      <c r="L445" s="11" t="str">
        <f>IF(COUNTBLANK(G445:K445)=5,"",IF(COUNTIF(G445:K445,"No")&gt;0,"EXCLUDE","INCLUDE"))</f>
        <v/>
      </c>
      <c r="M445" s="11" t="str">
        <f>IF(L445&lt;&gt;"EXCLUDE","",IF(G445="No","Wrong domain (non-AECO)",IF(H445="No","Digital Twin not core / buzzword",IF(I445="No","No Design for Safety/Quality/PtD",IF(J445="No","Wrong publication type",IF(K445="No","Non-English",""))))))</f>
        <v/>
      </c>
      <c r="N445" s="12"/>
      <c r="O445" s="12"/>
      <c r="P445" s="13"/>
      <c r="Q445" s="13"/>
      <c r="R445" s="13"/>
      <c r="S445" s="11" t="str">
        <f>IF(N445&lt;&gt;"Yes","",IF(COUNTBLANK(P445:R445)=3,"",IF(COUNTIF(P445:R445,"No")&gt;0,"EXCLUDE","INCLUDE")))</f>
        <v/>
      </c>
      <c r="T445" s="11" t="str">
        <f>IF(S445&lt;&gt;"EXCLUDE","",IF(P445="No","Digital Twin mentioned only, not the subject",IF(Q445="No","No Design for Safety/Quality in full text",IF(R445="No","Methodology not codable",""))))</f>
        <v/>
      </c>
      <c r="U445" s="14"/>
      <c r="V445" s="14"/>
      <c r="W445" s="14"/>
      <c r="X445" s="14"/>
      <c r="Y445" s="11" t="str">
        <f>IF(SUM(V445:X445)=0,"",IF(SUM(V445:X445)&gt;=2,"Multi","Single"))</f>
        <v/>
      </c>
      <c r="Z445" s="14"/>
      <c r="AA445" s="14"/>
      <c r="AB445" s="14"/>
      <c r="AC445" s="14"/>
      <c r="AD445" s="14"/>
      <c r="AE445" s="14"/>
      <c r="AF445" s="14"/>
      <c r="AG445" s="15"/>
    </row>
    <row r="446" spans="1:33">
      <c r="A446" s="8" t="s">
        <v>570</v>
      </c>
      <c r="B446" s="9"/>
      <c r="C446" s="8"/>
      <c r="D446" s="9"/>
      <c r="E446" s="9"/>
      <c r="F446" s="8"/>
      <c r="G446" s="10"/>
      <c r="H446" s="10"/>
      <c r="I446" s="10"/>
      <c r="J446" s="10"/>
      <c r="K446" s="10"/>
      <c r="L446" s="11" t="str">
        <f>IF(COUNTBLANK(G446:K446)=5,"",IF(COUNTIF(G446:K446,"No")&gt;0,"EXCLUDE","INCLUDE"))</f>
        <v/>
      </c>
      <c r="M446" s="11" t="str">
        <f>IF(L446&lt;&gt;"EXCLUDE","",IF(G446="No","Wrong domain (non-AECO)",IF(H446="No","Digital Twin not core / buzzword",IF(I446="No","No Design for Safety/Quality/PtD",IF(J446="No","Wrong publication type",IF(K446="No","Non-English",""))))))</f>
        <v/>
      </c>
      <c r="N446" s="12"/>
      <c r="O446" s="12"/>
      <c r="P446" s="13"/>
      <c r="Q446" s="13"/>
      <c r="R446" s="13"/>
      <c r="S446" s="11" t="str">
        <f>IF(N446&lt;&gt;"Yes","",IF(COUNTBLANK(P446:R446)=3,"",IF(COUNTIF(P446:R446,"No")&gt;0,"EXCLUDE","INCLUDE")))</f>
        <v/>
      </c>
      <c r="T446" s="11" t="str">
        <f>IF(S446&lt;&gt;"EXCLUDE","",IF(P446="No","Digital Twin mentioned only, not the subject",IF(Q446="No","No Design for Safety/Quality in full text",IF(R446="No","Methodology not codable",""))))</f>
        <v/>
      </c>
      <c r="U446" s="14"/>
      <c r="V446" s="14"/>
      <c r="W446" s="14"/>
      <c r="X446" s="14"/>
      <c r="Y446" s="11" t="str">
        <f>IF(SUM(V446:X446)=0,"",IF(SUM(V446:X446)&gt;=2,"Multi","Single"))</f>
        <v/>
      </c>
      <c r="Z446" s="14"/>
      <c r="AA446" s="14"/>
      <c r="AB446" s="14"/>
      <c r="AC446" s="14"/>
      <c r="AD446" s="14"/>
      <c r="AE446" s="14"/>
      <c r="AF446" s="14"/>
      <c r="AG446" s="15"/>
    </row>
    <row r="447" spans="1:33">
      <c r="A447" s="8" t="s">
        <v>571</v>
      </c>
      <c r="B447" s="9"/>
      <c r="C447" s="8"/>
      <c r="D447" s="9"/>
      <c r="E447" s="9"/>
      <c r="F447" s="8"/>
      <c r="G447" s="10"/>
      <c r="H447" s="10"/>
      <c r="I447" s="10"/>
      <c r="J447" s="10"/>
      <c r="K447" s="10"/>
      <c r="L447" s="11" t="str">
        <f>IF(COUNTBLANK(G447:K447)=5,"",IF(COUNTIF(G447:K447,"No")&gt;0,"EXCLUDE","INCLUDE"))</f>
        <v/>
      </c>
      <c r="M447" s="11" t="str">
        <f>IF(L447&lt;&gt;"EXCLUDE","",IF(G447="No","Wrong domain (non-AECO)",IF(H447="No","Digital Twin not core / buzzword",IF(I447="No","No Design for Safety/Quality/PtD",IF(J447="No","Wrong publication type",IF(K447="No","Non-English",""))))))</f>
        <v/>
      </c>
      <c r="N447" s="12"/>
      <c r="O447" s="12"/>
      <c r="P447" s="13"/>
      <c r="Q447" s="13"/>
      <c r="R447" s="13"/>
      <c r="S447" s="11" t="str">
        <f>IF(N447&lt;&gt;"Yes","",IF(COUNTBLANK(P447:R447)=3,"",IF(COUNTIF(P447:R447,"No")&gt;0,"EXCLUDE","INCLUDE")))</f>
        <v/>
      </c>
      <c r="T447" s="11" t="str">
        <f>IF(S447&lt;&gt;"EXCLUDE","",IF(P447="No","Digital Twin mentioned only, not the subject",IF(Q447="No","No Design for Safety/Quality in full text",IF(R447="No","Methodology not codable",""))))</f>
        <v/>
      </c>
      <c r="U447" s="14"/>
      <c r="V447" s="14"/>
      <c r="W447" s="14"/>
      <c r="X447" s="14"/>
      <c r="Y447" s="11" t="str">
        <f>IF(SUM(V447:X447)=0,"",IF(SUM(V447:X447)&gt;=2,"Multi","Single"))</f>
        <v/>
      </c>
      <c r="Z447" s="14"/>
      <c r="AA447" s="14"/>
      <c r="AB447" s="14"/>
      <c r="AC447" s="14"/>
      <c r="AD447" s="14"/>
      <c r="AE447" s="14"/>
      <c r="AF447" s="14"/>
      <c r="AG447" s="15"/>
    </row>
    <row r="448" spans="1:33">
      <c r="A448" s="8" t="s">
        <v>572</v>
      </c>
      <c r="B448" s="9"/>
      <c r="C448" s="8"/>
      <c r="D448" s="9"/>
      <c r="E448" s="9"/>
      <c r="F448" s="8"/>
      <c r="G448" s="10"/>
      <c r="H448" s="10"/>
      <c r="I448" s="10"/>
      <c r="J448" s="10"/>
      <c r="K448" s="10"/>
      <c r="L448" s="11" t="str">
        <f>IF(COUNTBLANK(G448:K448)=5,"",IF(COUNTIF(G448:K448,"No")&gt;0,"EXCLUDE","INCLUDE"))</f>
        <v/>
      </c>
      <c r="M448" s="11" t="str">
        <f>IF(L448&lt;&gt;"EXCLUDE","",IF(G448="No","Wrong domain (non-AECO)",IF(H448="No","Digital Twin not core / buzzword",IF(I448="No","No Design for Safety/Quality/PtD",IF(J448="No","Wrong publication type",IF(K448="No","Non-English",""))))))</f>
        <v/>
      </c>
      <c r="N448" s="12"/>
      <c r="O448" s="12"/>
      <c r="P448" s="13"/>
      <c r="Q448" s="13"/>
      <c r="R448" s="13"/>
      <c r="S448" s="11" t="str">
        <f>IF(N448&lt;&gt;"Yes","",IF(COUNTBLANK(P448:R448)=3,"",IF(COUNTIF(P448:R448,"No")&gt;0,"EXCLUDE","INCLUDE")))</f>
        <v/>
      </c>
      <c r="T448" s="11" t="str">
        <f>IF(S448&lt;&gt;"EXCLUDE","",IF(P448="No","Digital Twin mentioned only, not the subject",IF(Q448="No","No Design for Safety/Quality in full text",IF(R448="No","Methodology not codable",""))))</f>
        <v/>
      </c>
      <c r="U448" s="14"/>
      <c r="V448" s="14"/>
      <c r="W448" s="14"/>
      <c r="X448" s="14"/>
      <c r="Y448" s="11" t="str">
        <f>IF(SUM(V448:X448)=0,"",IF(SUM(V448:X448)&gt;=2,"Multi","Single"))</f>
        <v/>
      </c>
      <c r="Z448" s="14"/>
      <c r="AA448" s="14"/>
      <c r="AB448" s="14"/>
      <c r="AC448" s="14"/>
      <c r="AD448" s="14"/>
      <c r="AE448" s="14"/>
      <c r="AF448" s="14"/>
      <c r="AG448" s="15"/>
    </row>
    <row r="449" spans="1:33">
      <c r="A449" s="8" t="s">
        <v>573</v>
      </c>
      <c r="B449" s="9"/>
      <c r="C449" s="8"/>
      <c r="D449" s="9"/>
      <c r="E449" s="9"/>
      <c r="F449" s="8"/>
      <c r="G449" s="10"/>
      <c r="H449" s="10"/>
      <c r="I449" s="10"/>
      <c r="J449" s="10"/>
      <c r="K449" s="10"/>
      <c r="L449" s="11" t="str">
        <f>IF(COUNTBLANK(G449:K449)=5,"",IF(COUNTIF(G449:K449,"No")&gt;0,"EXCLUDE","INCLUDE"))</f>
        <v/>
      </c>
      <c r="M449" s="11" t="str">
        <f>IF(L449&lt;&gt;"EXCLUDE","",IF(G449="No","Wrong domain (non-AECO)",IF(H449="No","Digital Twin not core / buzzword",IF(I449="No","No Design for Safety/Quality/PtD",IF(J449="No","Wrong publication type",IF(K449="No","Non-English",""))))))</f>
        <v/>
      </c>
      <c r="N449" s="12"/>
      <c r="O449" s="12"/>
      <c r="P449" s="13"/>
      <c r="Q449" s="13"/>
      <c r="R449" s="13"/>
      <c r="S449" s="11" t="str">
        <f>IF(N449&lt;&gt;"Yes","",IF(COUNTBLANK(P449:R449)=3,"",IF(COUNTIF(P449:R449,"No")&gt;0,"EXCLUDE","INCLUDE")))</f>
        <v/>
      </c>
      <c r="T449" s="11" t="str">
        <f>IF(S449&lt;&gt;"EXCLUDE","",IF(P449="No","Digital Twin mentioned only, not the subject",IF(Q449="No","No Design for Safety/Quality in full text",IF(R449="No","Methodology not codable",""))))</f>
        <v/>
      </c>
      <c r="U449" s="14"/>
      <c r="V449" s="14"/>
      <c r="W449" s="14"/>
      <c r="X449" s="14"/>
      <c r="Y449" s="11" t="str">
        <f>IF(SUM(V449:X449)=0,"",IF(SUM(V449:X449)&gt;=2,"Multi","Single"))</f>
        <v/>
      </c>
      <c r="Z449" s="14"/>
      <c r="AA449" s="14"/>
      <c r="AB449" s="14"/>
      <c r="AC449" s="14"/>
      <c r="AD449" s="14"/>
      <c r="AE449" s="14"/>
      <c r="AF449" s="14"/>
      <c r="AG449" s="15"/>
    </row>
    <row r="450" spans="1:33">
      <c r="A450" s="8" t="s">
        <v>574</v>
      </c>
      <c r="B450" s="9"/>
      <c r="C450" s="8"/>
      <c r="D450" s="9"/>
      <c r="E450" s="9"/>
      <c r="F450" s="8"/>
      <c r="G450" s="10"/>
      <c r="H450" s="10"/>
      <c r="I450" s="10"/>
      <c r="J450" s="10"/>
      <c r="K450" s="10"/>
      <c r="L450" s="11" t="str">
        <f>IF(COUNTBLANK(G450:K450)=5,"",IF(COUNTIF(G450:K450,"No")&gt;0,"EXCLUDE","INCLUDE"))</f>
        <v/>
      </c>
      <c r="M450" s="11" t="str">
        <f>IF(L450&lt;&gt;"EXCLUDE","",IF(G450="No","Wrong domain (non-AECO)",IF(H450="No","Digital Twin not core / buzzword",IF(I450="No","No Design for Safety/Quality/PtD",IF(J450="No","Wrong publication type",IF(K450="No","Non-English",""))))))</f>
        <v/>
      </c>
      <c r="N450" s="12"/>
      <c r="O450" s="12"/>
      <c r="P450" s="13"/>
      <c r="Q450" s="13"/>
      <c r="R450" s="13"/>
      <c r="S450" s="11" t="str">
        <f>IF(N450&lt;&gt;"Yes","",IF(COUNTBLANK(P450:R450)=3,"",IF(COUNTIF(P450:R450,"No")&gt;0,"EXCLUDE","INCLUDE")))</f>
        <v/>
      </c>
      <c r="T450" s="11" t="str">
        <f>IF(S450&lt;&gt;"EXCLUDE","",IF(P450="No","Digital Twin mentioned only, not the subject",IF(Q450="No","No Design for Safety/Quality in full text",IF(R450="No","Methodology not codable",""))))</f>
        <v/>
      </c>
      <c r="U450" s="14"/>
      <c r="V450" s="14"/>
      <c r="W450" s="14"/>
      <c r="X450" s="14"/>
      <c r="Y450" s="11" t="str">
        <f>IF(SUM(V450:X450)=0,"",IF(SUM(V450:X450)&gt;=2,"Multi","Single"))</f>
        <v/>
      </c>
      <c r="Z450" s="14"/>
      <c r="AA450" s="14"/>
      <c r="AB450" s="14"/>
      <c r="AC450" s="14"/>
      <c r="AD450" s="14"/>
      <c r="AE450" s="14"/>
      <c r="AF450" s="14"/>
      <c r="AG450" s="15"/>
    </row>
    <row r="451" spans="1:33">
      <c r="A451" s="8" t="s">
        <v>575</v>
      </c>
      <c r="B451" s="9"/>
      <c r="C451" s="8"/>
      <c r="D451" s="9"/>
      <c r="E451" s="9"/>
      <c r="F451" s="8"/>
      <c r="G451" s="10"/>
      <c r="H451" s="10"/>
      <c r="I451" s="10"/>
      <c r="J451" s="10"/>
      <c r="K451" s="10"/>
      <c r="L451" s="11" t="str">
        <f>IF(COUNTBLANK(G451:K451)=5,"",IF(COUNTIF(G451:K451,"No")&gt;0,"EXCLUDE","INCLUDE"))</f>
        <v/>
      </c>
      <c r="M451" s="11" t="str">
        <f>IF(L451&lt;&gt;"EXCLUDE","",IF(G451="No","Wrong domain (non-AECO)",IF(H451="No","Digital Twin not core / buzzword",IF(I451="No","No Design for Safety/Quality/PtD",IF(J451="No","Wrong publication type",IF(K451="No","Non-English",""))))))</f>
        <v/>
      </c>
      <c r="N451" s="12"/>
      <c r="O451" s="12"/>
      <c r="P451" s="13"/>
      <c r="Q451" s="13"/>
      <c r="R451" s="13"/>
      <c r="S451" s="11" t="str">
        <f>IF(N451&lt;&gt;"Yes","",IF(COUNTBLANK(P451:R451)=3,"",IF(COUNTIF(P451:R451,"No")&gt;0,"EXCLUDE","INCLUDE")))</f>
        <v/>
      </c>
      <c r="T451" s="11" t="str">
        <f>IF(S451&lt;&gt;"EXCLUDE","",IF(P451="No","Digital Twin mentioned only, not the subject",IF(Q451="No","No Design for Safety/Quality in full text",IF(R451="No","Methodology not codable",""))))</f>
        <v/>
      </c>
      <c r="U451" s="14"/>
      <c r="V451" s="14"/>
      <c r="W451" s="14"/>
      <c r="X451" s="14"/>
      <c r="Y451" s="11" t="str">
        <f>IF(SUM(V451:X451)=0,"",IF(SUM(V451:X451)&gt;=2,"Multi","Single"))</f>
        <v/>
      </c>
      <c r="Z451" s="14"/>
      <c r="AA451" s="14"/>
      <c r="AB451" s="14"/>
      <c r="AC451" s="14"/>
      <c r="AD451" s="14"/>
      <c r="AE451" s="14"/>
      <c r="AF451" s="14"/>
      <c r="AG451" s="15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xr:uid="{00000000-0002-0000-0200-000000000000}">
          <x14:formula1>
            <xm:f>'1_CodeLists'!$B$2:$B$6</xm:f>
          </x14:formula1>
          <x14:formula2>
            <xm:f>0</xm:f>
          </x14:formula2>
          <xm:sqref>F2:F451</xm:sqref>
        </x14:dataValidation>
        <x14:dataValidation type="list" allowBlank="1" xr:uid="{00000000-0002-0000-0200-000001000000}">
          <x14:formula1>
            <xm:f>'1_CodeLists'!$A$2:$A$3</xm:f>
          </x14:formula1>
          <x14:formula2>
            <xm:f>0</xm:f>
          </x14:formula2>
          <xm:sqref>N2:R451 G2:K451</xm:sqref>
        </x14:dataValidation>
        <x14:dataValidation type="list" allowBlank="1" xr:uid="{00000000-0002-0000-0200-00000B000000}">
          <x14:formula1>
            <xm:f>'1_CodeLists'!$D$2:$D$6</xm:f>
          </x14:formula1>
          <x14:formula2>
            <xm:f>0</xm:f>
          </x14:formula2>
          <xm:sqref>U2:U451</xm:sqref>
        </x14:dataValidation>
        <x14:dataValidation type="list" allowBlank="1" xr:uid="{00000000-0002-0000-0200-00000C000000}">
          <x14:formula1>
            <xm:f>'1_CodeLists'!$C$2:$C$3</xm:f>
          </x14:formula1>
          <x14:formula2>
            <xm:f>0</xm:f>
          </x14:formula2>
          <xm:sqref>V2:X451</xm:sqref>
        </x14:dataValidation>
        <x14:dataValidation type="list" allowBlank="1" xr:uid="{00000000-0002-0000-0200-00000F000000}">
          <x14:formula1>
            <xm:f>'1_CodeLists'!$E$2:$E$5</xm:f>
          </x14:formula1>
          <x14:formula2>
            <xm:f>0</xm:f>
          </x14:formula2>
          <xm:sqref>Z2:Z451</xm:sqref>
        </x14:dataValidation>
        <x14:dataValidation type="list" allowBlank="1" xr:uid="{00000000-0002-0000-0200-000010000000}">
          <x14:formula1>
            <xm:f>'1_CodeLists'!$F$2:$F$5</xm:f>
          </x14:formula1>
          <x14:formula2>
            <xm:f>0</xm:f>
          </x14:formula2>
          <xm:sqref>AA2:AA451</xm:sqref>
        </x14:dataValidation>
        <x14:dataValidation type="list" allowBlank="1" xr:uid="{00000000-0002-0000-0200-000011000000}">
          <x14:formula1>
            <xm:f>'1_CodeLists'!$G$2:$G$13</xm:f>
          </x14:formula1>
          <x14:formula2>
            <xm:f>0</xm:f>
          </x14:formula2>
          <xm:sqref>AB2:AB451</xm:sqref>
        </x14:dataValidation>
        <x14:dataValidation type="list" allowBlank="1" xr:uid="{00000000-0002-0000-0200-000012000000}">
          <x14:formula1>
            <xm:f>'1_CodeLists'!$H$2:$H$3</xm:f>
          </x14:formula1>
          <x14:formula2>
            <xm:f>0</xm:f>
          </x14:formula2>
          <xm:sqref>AC2:AC451</xm:sqref>
        </x14:dataValidation>
        <x14:dataValidation type="list" allowBlank="1" xr:uid="{00000000-0002-0000-0200-000013000000}">
          <x14:formula1>
            <xm:f>'1_CodeLists'!$I$2:$I$5</xm:f>
          </x14:formula1>
          <x14:formula2>
            <xm:f>0</xm:f>
          </x14:formula2>
          <xm:sqref>AD2:AD451</xm:sqref>
        </x14:dataValidation>
        <x14:dataValidation type="list" allowBlank="1" xr:uid="{00000000-0002-0000-0200-000014000000}">
          <x14:formula1>
            <xm:f>'1_CodeLists'!$J$2:$J$8</xm:f>
          </x14:formula1>
          <x14:formula2>
            <xm:f>0</xm:f>
          </x14:formula2>
          <xm:sqref>AF2:AF451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showGridLines="0" zoomScaleNormal="100" workbookViewId="0"/>
  </sheetViews>
  <sheetFormatPr defaultColWidth="8.7109375" defaultRowHeight="15"/>
  <cols>
    <col min="1" max="1" width="46" customWidth="1"/>
    <col min="2" max="2" width="14" customWidth="1"/>
  </cols>
  <sheetData>
    <row r="1" spans="1:2" ht="16.149999999999999">
      <c r="A1" s="16" t="s">
        <v>576</v>
      </c>
    </row>
    <row r="3" spans="1:2">
      <c r="A3" s="17" t="s">
        <v>577</v>
      </c>
      <c r="B3" s="6" t="s">
        <v>578</v>
      </c>
    </row>
    <row r="4" spans="1:2">
      <c r="A4" s="18" t="s">
        <v>579</v>
      </c>
      <c r="B4" s="19">
        <f>COUNTA(Matrix!$A$2:$A$451)</f>
        <v>450</v>
      </c>
    </row>
    <row r="5" spans="1:2">
      <c r="A5" s="18" t="s">
        <v>580</v>
      </c>
      <c r="B5" s="19">
        <f>COUNTIF(Matrix!$L$2:$L$451,"INCLUDE")+COUNTIF(Matrix!$L$2:$L$451,"EXCLUDE")</f>
        <v>0</v>
      </c>
    </row>
    <row r="6" spans="1:2">
      <c r="A6" s="18" t="s">
        <v>581</v>
      </c>
      <c r="B6" s="19">
        <f>COUNTIF(Matrix!$L$2:$L$451,"EXCLUDE")</f>
        <v>0</v>
      </c>
    </row>
    <row r="7" spans="1:2">
      <c r="A7" s="20" t="s">
        <v>582</v>
      </c>
      <c r="B7" s="21">
        <f>COUNTIF(Matrix!$L$2:$L$451,"INCLUDE")</f>
        <v>0</v>
      </c>
    </row>
    <row r="8" spans="1:2">
      <c r="A8" s="18" t="s">
        <v>583</v>
      </c>
      <c r="B8" s="19">
        <f>COUNTIFS(Matrix!$L$2:$L$451,"INCLUDE",Matrix!$N$2:$N$451,"Yes")</f>
        <v>0</v>
      </c>
    </row>
    <row r="9" spans="1:2">
      <c r="A9" s="18" t="s">
        <v>584</v>
      </c>
      <c r="B9" s="19">
        <f>COUNTIFS(Matrix!$L$2:$L$451,"INCLUDE",Matrix!$N$2:$N$451,"No")</f>
        <v>0</v>
      </c>
    </row>
    <row r="10" spans="1:2">
      <c r="A10" s="20" t="s">
        <v>585</v>
      </c>
      <c r="B10" s="21">
        <f>COUNTIFS(Matrix!$N$2:$N$451,"Yes",Matrix!$S$2:$S$451,"INCLUDE")+COUNTIFS(Matrix!$N$2:$N$451,"Yes",Matrix!$S$2:$S$451,"EXCLUDE")</f>
        <v>0</v>
      </c>
    </row>
    <row r="11" spans="1:2">
      <c r="A11" s="18" t="s">
        <v>586</v>
      </c>
      <c r="B11" s="19">
        <f>COUNTIF(Matrix!$S$2:$S$451,"EXCLUDE")</f>
        <v>0</v>
      </c>
    </row>
    <row r="12" spans="1:2">
      <c r="A12" s="22" t="s">
        <v>587</v>
      </c>
      <c r="B12" s="23">
        <f>COUNTIF(Matrix!$S$2:$S$451,"INCLUDE")</f>
        <v>0</v>
      </c>
    </row>
    <row r="14" spans="1:2">
      <c r="A14" s="3" t="s">
        <v>588</v>
      </c>
    </row>
    <row r="15" spans="1:2">
      <c r="A15" s="17" t="s">
        <v>589</v>
      </c>
      <c r="B15" s="6" t="s">
        <v>578</v>
      </c>
    </row>
    <row r="16" spans="1:2">
      <c r="A16" s="18" t="s">
        <v>590</v>
      </c>
      <c r="B16" s="19">
        <f>COUNTIF(Matrix!$M$2:$M$451,"Wrong domain (non-AECO)")</f>
        <v>0</v>
      </c>
    </row>
    <row r="17" spans="1:2">
      <c r="A17" s="18" t="s">
        <v>591</v>
      </c>
      <c r="B17" s="19">
        <f>COUNTIF(Matrix!$M$2:$M$451,"Digital Twin not core / buzzword")</f>
        <v>0</v>
      </c>
    </row>
    <row r="18" spans="1:2">
      <c r="A18" s="18" t="s">
        <v>592</v>
      </c>
      <c r="B18" s="19">
        <f>COUNTIF(Matrix!$M$2:$M$451,"No Design for Safety/Quality/PtD")</f>
        <v>0</v>
      </c>
    </row>
    <row r="19" spans="1:2">
      <c r="A19" s="18" t="s">
        <v>593</v>
      </c>
      <c r="B19" s="19">
        <f>COUNTIF(Matrix!$M$2:$M$451,"Wrong publication type")</f>
        <v>0</v>
      </c>
    </row>
    <row r="20" spans="1:2">
      <c r="A20" s="18" t="s">
        <v>594</v>
      </c>
      <c r="B20" s="19">
        <f>COUNTIF(Matrix!$M$2:$M$451,"Non-English")</f>
        <v>0</v>
      </c>
    </row>
    <row r="21" spans="1:2">
      <c r="A21" s="24" t="s">
        <v>595</v>
      </c>
      <c r="B21" s="25">
        <f>SUM(B16:B20)</f>
        <v>0</v>
      </c>
    </row>
    <row r="23" spans="1:2">
      <c r="A23" s="3" t="s">
        <v>596</v>
      </c>
    </row>
    <row r="24" spans="1:2">
      <c r="A24" s="17" t="s">
        <v>589</v>
      </c>
      <c r="B24" s="6" t="s">
        <v>578</v>
      </c>
    </row>
    <row r="25" spans="1:2">
      <c r="A25" s="18" t="s">
        <v>597</v>
      </c>
      <c r="B25" s="19">
        <f>COUNTIF(Matrix!$T$2:$T$451,"Digital Twin mentioned only, not the subject")</f>
        <v>0</v>
      </c>
    </row>
    <row r="26" spans="1:2">
      <c r="A26" s="18" t="s">
        <v>598</v>
      </c>
      <c r="B26" s="19">
        <f>COUNTIF(Matrix!$T$2:$T$451,"No Design for Safety/Quality in full text")</f>
        <v>0</v>
      </c>
    </row>
    <row r="27" spans="1:2">
      <c r="A27" s="18" t="s">
        <v>599</v>
      </c>
      <c r="B27" s="19">
        <f>COUNTIF(Matrix!$T$2:$T$451,"Methodology not codable")</f>
        <v>0</v>
      </c>
    </row>
    <row r="28" spans="1:2">
      <c r="A28" s="24" t="s">
        <v>600</v>
      </c>
      <c r="B28" s="25">
        <f>SUM(B25:B27)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9"/>
  <sheetViews>
    <sheetView showGridLines="0" zoomScaleNormal="100" workbookViewId="0"/>
  </sheetViews>
  <sheetFormatPr defaultColWidth="8.7109375" defaultRowHeight="15"/>
  <cols>
    <col min="1" max="1" width="42" customWidth="1"/>
    <col min="2" max="2" width="10" customWidth="1"/>
    <col min="3" max="3" width="12" customWidth="1"/>
  </cols>
  <sheetData>
    <row r="1" spans="1:3" ht="16.149999999999999">
      <c r="A1" s="16" t="s">
        <v>601</v>
      </c>
    </row>
    <row r="2" spans="1:3">
      <c r="A2" s="26" t="s">
        <v>602</v>
      </c>
      <c r="B2" s="27">
        <f>COUNTIF(Matrix!$S$2:$S$451,"INCLUDE")</f>
        <v>0</v>
      </c>
    </row>
    <row r="4" spans="1:3">
      <c r="A4" s="3" t="s">
        <v>603</v>
      </c>
    </row>
    <row r="5" spans="1:3">
      <c r="A5" s="6" t="s">
        <v>604</v>
      </c>
      <c r="B5" s="6" t="s">
        <v>578</v>
      </c>
      <c r="C5" s="6" t="s">
        <v>605</v>
      </c>
    </row>
    <row r="6" spans="1:3">
      <c r="A6" s="18" t="s">
        <v>52</v>
      </c>
      <c r="B6" s="28">
        <f>COUNTIFS(Matrix!$S$2:$S$451,"INCLUDE",Matrix!$U$2:$U$451,"Tier 1 - Digital Model (static, no live data)")</f>
        <v>0</v>
      </c>
      <c r="C6" s="29" t="str">
        <f>IF($B$2=0,"-",B6/$B$2)</f>
        <v>-</v>
      </c>
    </row>
    <row r="7" spans="1:3">
      <c r="A7" s="18" t="s">
        <v>61</v>
      </c>
      <c r="B7" s="28">
        <f>COUNTIFS(Matrix!$S$2:$S$451,"INCLUDE",Matrix!$U$2:$U$451,"Tier 2 - Digital Shadow (one-way physical to virtual)")</f>
        <v>0</v>
      </c>
      <c r="C7" s="29" t="str">
        <f>IF($B$2=0,"-",B7/$B$2)</f>
        <v>-</v>
      </c>
    </row>
    <row r="8" spans="1:3">
      <c r="A8" s="18" t="s">
        <v>68</v>
      </c>
      <c r="B8" s="28">
        <f>COUNTIFS(Matrix!$S$2:$S$451,"INCLUDE",Matrix!$U$2:$U$451,"Tier 3 - Digital Twin (bidirectional, two-way)")</f>
        <v>0</v>
      </c>
      <c r="C8" s="29" t="str">
        <f>IF($B$2=0,"-",B8/$B$2)</f>
        <v>-</v>
      </c>
    </row>
    <row r="9" spans="1:3">
      <c r="A9" s="18" t="s">
        <v>75</v>
      </c>
      <c r="B9" s="28">
        <f>COUNTIFS(Matrix!$S$2:$S$451,"INCLUDE",Matrix!$U$2:$U$451,"Tier 4 - Cognitive / Self-improving")</f>
        <v>0</v>
      </c>
      <c r="C9" s="29" t="str">
        <f>IF($B$2=0,"-",B9/$B$2)</f>
        <v>-</v>
      </c>
    </row>
    <row r="10" spans="1:3">
      <c r="A10" s="18" t="s">
        <v>82</v>
      </c>
      <c r="B10" s="28">
        <f>COUNTIFS(Matrix!$S$2:$S$451,"INCLUDE",Matrix!$U$2:$U$451,"Unclear")</f>
        <v>0</v>
      </c>
      <c r="C10" s="29" t="str">
        <f>IF($B$2=0,"-",B10/$B$2)</f>
        <v>-</v>
      </c>
    </row>
    <row r="12" spans="1:3">
      <c r="A12" s="3" t="s">
        <v>606</v>
      </c>
    </row>
    <row r="13" spans="1:3">
      <c r="A13" s="6" t="s">
        <v>604</v>
      </c>
      <c r="B13" s="6" t="s">
        <v>578</v>
      </c>
      <c r="C13" s="6" t="s">
        <v>605</v>
      </c>
    </row>
    <row r="14" spans="1:3">
      <c r="A14" s="18" t="s">
        <v>53</v>
      </c>
      <c r="B14" s="28">
        <f>COUNTIFS(Matrix!$S$2:$S$451,"INCLUDE",Matrix!$AA$2:$AA$451,"None")</f>
        <v>0</v>
      </c>
      <c r="C14" s="29" t="str">
        <f>IF($B$2=0,"-",B14/$B$2)</f>
        <v>-</v>
      </c>
    </row>
    <row r="15" spans="1:3">
      <c r="A15" s="18" t="s">
        <v>62</v>
      </c>
      <c r="B15" s="28">
        <f>COUNTIFS(Matrix!$S$2:$S$451,"INCLUDE",Matrix!$AA$2:$AA$451,"Mentioned only")</f>
        <v>0</v>
      </c>
      <c r="C15" s="29" t="str">
        <f>IF($B$2=0,"-",B15/$B$2)</f>
        <v>-</v>
      </c>
    </row>
    <row r="16" spans="1:3">
      <c r="A16" s="18" t="s">
        <v>70</v>
      </c>
      <c r="B16" s="28">
        <f>COUNTIFS(Matrix!$S$2:$S$451,"INCLUDE",Matrix!$AA$2:$AA$451,"Implemented")</f>
        <v>0</v>
      </c>
      <c r="C16" s="29" t="str">
        <f>IF($B$2=0,"-",B16/$B$2)</f>
        <v>-</v>
      </c>
    </row>
    <row r="17" spans="1:3">
      <c r="A17" s="18" t="s">
        <v>77</v>
      </c>
      <c r="B17" s="28">
        <f>COUNTIFS(Matrix!$S$2:$S$451,"INCLUDE",Matrix!$AA$2:$AA$451,"Convergence-characterised")</f>
        <v>0</v>
      </c>
      <c r="C17" s="29" t="str">
        <f>IF($B$2=0,"-",B17/$B$2)</f>
        <v>-</v>
      </c>
    </row>
    <row r="19" spans="1:3">
      <c r="A19" s="3" t="s">
        <v>607</v>
      </c>
    </row>
    <row r="20" spans="1:3">
      <c r="A20" s="6" t="s">
        <v>604</v>
      </c>
      <c r="B20" s="6" t="s">
        <v>578</v>
      </c>
      <c r="C20" s="6" t="s">
        <v>605</v>
      </c>
    </row>
    <row r="21" spans="1:3">
      <c r="A21" s="18" t="s">
        <v>9</v>
      </c>
      <c r="B21" s="28">
        <f>COUNTIFS(Matrix!$S$2:$S$451,"INCLUDE",Matrix!$Z$2:$Z$451,"Design for Safety (DfS)")</f>
        <v>0</v>
      </c>
      <c r="C21" s="29" t="str">
        <f>IF($B$2=0,"-",B21/$B$2)</f>
        <v>-</v>
      </c>
    </row>
    <row r="22" spans="1:3">
      <c r="A22" s="18" t="s">
        <v>11</v>
      </c>
      <c r="B22" s="28">
        <f>COUNTIFS(Matrix!$S$2:$S$451,"INCLUDE",Matrix!$Z$2:$Z$451,"Design for Quality (DfQ)")</f>
        <v>0</v>
      </c>
      <c r="C22" s="29" t="str">
        <f>IF($B$2=0,"-",B22/$B$2)</f>
        <v>-</v>
      </c>
    </row>
    <row r="23" spans="1:3">
      <c r="A23" s="18" t="s">
        <v>69</v>
      </c>
      <c r="B23" s="28">
        <f>COUNTIFS(Matrix!$S$2:$S$451,"INCLUDE",Matrix!$Z$2:$Z$451,"Both")</f>
        <v>0</v>
      </c>
      <c r="C23" s="29" t="str">
        <f>IF($B$2=0,"-",B23/$B$2)</f>
        <v>-</v>
      </c>
    </row>
    <row r="24" spans="1:3">
      <c r="A24" s="18" t="s">
        <v>76</v>
      </c>
      <c r="B24" s="28">
        <f>COUNTIFS(Matrix!$S$2:$S$451,"INCLUDE",Matrix!$Z$2:$Z$451,"Other")</f>
        <v>0</v>
      </c>
      <c r="C24" s="29" t="str">
        <f>IF($B$2=0,"-",B24/$B$2)</f>
        <v>-</v>
      </c>
    </row>
    <row r="26" spans="1:3">
      <c r="A26" s="3" t="s">
        <v>608</v>
      </c>
    </row>
    <row r="27" spans="1:3">
      <c r="A27" s="6" t="s">
        <v>604</v>
      </c>
      <c r="B27" s="6" t="s">
        <v>578</v>
      </c>
      <c r="C27" s="6" t="s">
        <v>605</v>
      </c>
    </row>
    <row r="28" spans="1:3">
      <c r="A28" s="18" t="s">
        <v>55</v>
      </c>
      <c r="B28" s="28">
        <f>COUNTIFS(Matrix!$S$2:$S$451,"INCLUDE",Matrix!$AC$2:$AC$451,"Single (one data type)")</f>
        <v>0</v>
      </c>
      <c r="C28" s="29" t="str">
        <f>IF($B$2=0,"-",B28/$B$2)</f>
        <v>-</v>
      </c>
    </row>
    <row r="29" spans="1:3">
      <c r="A29" s="18" t="s">
        <v>64</v>
      </c>
      <c r="B29" s="28">
        <f>COUNTIFS(Matrix!$S$2:$S$451,"INCLUDE",Matrix!$AC$2:$AC$451,"Multi (two or more data types)")</f>
        <v>0</v>
      </c>
      <c r="C29" s="29" t="str">
        <f>IF($B$2=0,"-",B29/$B$2)</f>
        <v>-</v>
      </c>
    </row>
    <row r="31" spans="1:3">
      <c r="A31" s="3" t="s">
        <v>609</v>
      </c>
    </row>
    <row r="32" spans="1:3">
      <c r="A32" s="6" t="s">
        <v>604</v>
      </c>
      <c r="B32" s="6" t="s">
        <v>578</v>
      </c>
      <c r="C32" s="6" t="s">
        <v>605</v>
      </c>
    </row>
    <row r="33" spans="1:3">
      <c r="A33" s="18" t="s">
        <v>56</v>
      </c>
      <c r="B33" s="28">
        <f>COUNTIFS(Matrix!$S$2:$S$451,"INCLUDE",Matrix!$AD$2:$AD$451,"Conceptual (no test)")</f>
        <v>0</v>
      </c>
      <c r="C33" s="29" t="str">
        <f>IF($B$2=0,"-",B33/$B$2)</f>
        <v>-</v>
      </c>
    </row>
    <row r="34" spans="1:3">
      <c r="A34" s="18" t="s">
        <v>65</v>
      </c>
      <c r="B34" s="28">
        <f>COUNTIFS(Matrix!$S$2:$S$451,"INCLUDE",Matrix!$AD$2:$AD$451,"Simulation")</f>
        <v>0</v>
      </c>
      <c r="C34" s="29" t="str">
        <f>IF($B$2=0,"-",B34/$B$2)</f>
        <v>-</v>
      </c>
    </row>
    <row r="35" spans="1:3">
      <c r="A35" s="18" t="s">
        <v>72</v>
      </c>
      <c r="B35" s="28">
        <f>COUNTIFS(Matrix!$S$2:$S$451,"INCLUDE",Matrix!$AD$2:$AD$451,"Single case study")</f>
        <v>0</v>
      </c>
      <c r="C35" s="29" t="str">
        <f>IF($B$2=0,"-",B35/$B$2)</f>
        <v>-</v>
      </c>
    </row>
    <row r="36" spans="1:3">
      <c r="A36" s="18" t="s">
        <v>79</v>
      </c>
      <c r="B36" s="28">
        <f>COUNTIFS(Matrix!$S$2:$S$451,"INCLUDE",Matrix!$AD$2:$AD$451,"Cross-project (multiple real projects)")</f>
        <v>0</v>
      </c>
      <c r="C36" s="29" t="str">
        <f>IF($B$2=0,"-",B36/$B$2)</f>
        <v>-</v>
      </c>
    </row>
    <row r="38" spans="1:3">
      <c r="A38" s="3" t="s">
        <v>610</v>
      </c>
    </row>
    <row r="39" spans="1:3">
      <c r="A39" s="6" t="s">
        <v>604</v>
      </c>
      <c r="B39" s="6" t="s">
        <v>578</v>
      </c>
      <c r="C39" s="6" t="s">
        <v>605</v>
      </c>
    </row>
    <row r="40" spans="1:3">
      <c r="A40" s="18" t="s">
        <v>54</v>
      </c>
      <c r="B40" s="28">
        <f>COUNTIFS(Matrix!$S$2:$S$451,"INCLUDE",Matrix!$AB$2:$AB$451,"Computer Vision / CNN / object-detection")</f>
        <v>0</v>
      </c>
      <c r="C40" s="29" t="str">
        <f>IF($B$2=0,"-",B40/$B$2)</f>
        <v>-</v>
      </c>
    </row>
    <row r="41" spans="1:3">
      <c r="A41" s="18" t="s">
        <v>63</v>
      </c>
      <c r="B41" s="28">
        <f>COUNTIFS(Matrix!$S$2:$S$451,"INCLUDE",Matrix!$AB$2:$AB$451,"Graph Neural Network (GNN)")</f>
        <v>0</v>
      </c>
      <c r="C41" s="29" t="str">
        <f>IF($B$2=0,"-",B41/$B$2)</f>
        <v>-</v>
      </c>
    </row>
    <row r="42" spans="1:3">
      <c r="A42" s="18" t="s">
        <v>71</v>
      </c>
      <c r="B42" s="28">
        <f>COUNTIFS(Matrix!$S$2:$S$451,"INCLUDE",Matrix!$AB$2:$AB$451,"LSTM / RNN (recurrent networks)")</f>
        <v>0</v>
      </c>
      <c r="C42" s="29" t="str">
        <f>IF($B$2=0,"-",B42/$B$2)</f>
        <v>-</v>
      </c>
    </row>
    <row r="43" spans="1:3">
      <c r="A43" s="18" t="s">
        <v>78</v>
      </c>
      <c r="B43" s="28">
        <f>COUNTIFS(Matrix!$S$2:$S$451,"INCLUDE",Matrix!$AB$2:$AB$451,"Transformer / Large Language Model (LLM)")</f>
        <v>0</v>
      </c>
      <c r="C43" s="29" t="str">
        <f>IF($B$2=0,"-",B43/$B$2)</f>
        <v>-</v>
      </c>
    </row>
    <row r="44" spans="1:3">
      <c r="A44" s="18" t="s">
        <v>83</v>
      </c>
      <c r="B44" s="28">
        <f>COUNTIFS(Matrix!$S$2:$S$451,"INCLUDE",Matrix!$AB$2:$AB$451,"Reinforcement Learning (RL)")</f>
        <v>0</v>
      </c>
      <c r="C44" s="29" t="str">
        <f>IF($B$2=0,"-",B44/$B$2)</f>
        <v>-</v>
      </c>
    </row>
    <row r="45" spans="1:3">
      <c r="A45" s="18" t="s">
        <v>85</v>
      </c>
      <c r="B45" s="28">
        <f>COUNTIFS(Matrix!$S$2:$S$451,"INCLUDE",Matrix!$AB$2:$AB$451,"Bayesian / probabilistic")</f>
        <v>0</v>
      </c>
      <c r="C45" s="29" t="str">
        <f>IF($B$2=0,"-",B45/$B$2)</f>
        <v>-</v>
      </c>
    </row>
    <row r="46" spans="1:3">
      <c r="A46" s="18" t="s">
        <v>87</v>
      </c>
      <c r="B46" s="28">
        <f>COUNTIFS(Matrix!$S$2:$S$451,"INCLUDE",Matrix!$AB$2:$AB$451,"Agent-based model (ABM)")</f>
        <v>0</v>
      </c>
      <c r="C46" s="29" t="str">
        <f>IF($B$2=0,"-",B46/$B$2)</f>
        <v>-</v>
      </c>
    </row>
    <row r="47" spans="1:3">
      <c r="A47" s="18" t="s">
        <v>88</v>
      </c>
      <c r="B47" s="28">
        <f>COUNTIFS(Matrix!$S$2:$S$451,"INCLUDE",Matrix!$AB$2:$AB$451,"Finite Element Method / physics-based")</f>
        <v>0</v>
      </c>
      <c r="C47" s="29" t="str">
        <f>IF($B$2=0,"-",B47/$B$2)</f>
        <v>-</v>
      </c>
    </row>
    <row r="48" spans="1:3">
      <c r="A48" s="18" t="s">
        <v>89</v>
      </c>
      <c r="B48" s="28">
        <f>COUNTIFS(Matrix!$S$2:$S$451,"INCLUDE",Matrix!$AB$2:$AB$451,"Ontology / semantic")</f>
        <v>0</v>
      </c>
      <c r="C48" s="29" t="str">
        <f>IF($B$2=0,"-",B48/$B$2)</f>
        <v>-</v>
      </c>
    </row>
    <row r="49" spans="1:3">
      <c r="A49" s="18" t="s">
        <v>90</v>
      </c>
      <c r="B49" s="28">
        <f>COUNTIFS(Matrix!$S$2:$S$451,"INCLUDE",Matrix!$AB$2:$AB$451,"Statistical / change-point")</f>
        <v>0</v>
      </c>
      <c r="C49" s="29" t="str">
        <f>IF($B$2=0,"-",B49/$B$2)</f>
        <v>-</v>
      </c>
    </row>
    <row r="50" spans="1:3">
      <c r="A50" s="18" t="s">
        <v>91</v>
      </c>
      <c r="B50" s="28">
        <f>COUNTIFS(Matrix!$S$2:$S$451,"INCLUDE",Matrix!$AB$2:$AB$451,"Digital Twin platform (no machine learning)")</f>
        <v>0</v>
      </c>
      <c r="C50" s="29" t="str">
        <f>IF($B$2=0,"-",B50/$B$2)</f>
        <v>-</v>
      </c>
    </row>
    <row r="51" spans="1:3">
      <c r="A51" s="18" t="s">
        <v>92</v>
      </c>
      <c r="B51" s="28">
        <f>COUNTIFS(Matrix!$S$2:$S$451,"INCLUDE",Matrix!$AB$2:$AB$451,"Other / Mixed")</f>
        <v>0</v>
      </c>
      <c r="C51" s="29" t="str">
        <f>IF($B$2=0,"-",B51/$B$2)</f>
        <v>-</v>
      </c>
    </row>
    <row r="53" spans="1:3">
      <c r="A53" s="3" t="s">
        <v>611</v>
      </c>
    </row>
    <row r="54" spans="1:3">
      <c r="A54" s="6" t="s">
        <v>612</v>
      </c>
      <c r="B54" s="6" t="s">
        <v>578</v>
      </c>
    </row>
    <row r="55" spans="1:3">
      <c r="A55" s="18" t="s">
        <v>613</v>
      </c>
      <c r="B55" s="28">
        <f>COUNTIFS(Matrix!$S$2:$S$451,"INCLUDE",Matrix!$V$2:$V$451,1)</f>
        <v>0</v>
      </c>
    </row>
    <row r="56" spans="1:3">
      <c r="A56" s="18" t="s">
        <v>614</v>
      </c>
      <c r="B56" s="28">
        <f>COUNTIFS(Matrix!$S$2:$S$451,"INCLUDE",Matrix!$W$2:$W$451,1)</f>
        <v>0</v>
      </c>
    </row>
    <row r="57" spans="1:3">
      <c r="A57" s="18" t="s">
        <v>615</v>
      </c>
      <c r="B57" s="28">
        <f>COUNTIFS(Matrix!$S$2:$S$451,"INCLUDE",Matrix!$X$2:$X$451,1)</f>
        <v>0</v>
      </c>
    </row>
    <row r="58" spans="1:3">
      <c r="A58" s="18" t="s">
        <v>616</v>
      </c>
      <c r="B58" s="28">
        <f>COUNTIFS(Matrix!$S$2:$S$451,"INCLUDE",Matrix!$Y$2:$Y$451,"Single")</f>
        <v>0</v>
      </c>
    </row>
    <row r="59" spans="1:3">
      <c r="A59" s="18" t="s">
        <v>617</v>
      </c>
      <c r="B59" s="28">
        <f>COUNTIFS(Matrix!$S$2:$S$451,"INCLUDE",Matrix!$Y$2:$Y$451,"Multi")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2fa3fd3-029b-403d-91b4-1dc930cb0e60}" enabled="1" method="Standard" siteId="{4ae48b41-0137-4599-8661-fc641fe77b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 Hu</dc:creator>
  <cp:keywords/>
  <dc:description/>
  <cp:lastModifiedBy/>
  <cp:revision>0</cp:revision>
  <dcterms:created xsi:type="dcterms:W3CDTF">2026-08-09T15:02:47Z</dcterms:created>
  <dcterms:modified xsi:type="dcterms:W3CDTF">2026-08-09T15:09:06Z</dcterms:modified>
  <cp:category/>
  <cp:contentStatus/>
</cp:coreProperties>
</file>